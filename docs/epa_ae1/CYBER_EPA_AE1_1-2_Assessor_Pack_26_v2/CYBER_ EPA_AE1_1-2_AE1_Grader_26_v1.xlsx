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ssu-my.sharepoint.com/personal/martin_reid_solent_ac_uk/Documents/Module_Dev_2025-26/modules_2025-26/COM627-628-EPA-24-25/EPA_1-2_AE1_Packs_2026/CYBER_EPA_AE1_1-2_Assessor_Pack_26_v2/"/>
    </mc:Choice>
  </mc:AlternateContent>
  <xr:revisionPtr revIDLastSave="289" documentId="13_ncr:1_{9E56CA1E-F4A3-AE4E-8702-C9DA77911AAB}" xr6:coauthVersionLast="47" xr6:coauthVersionMax="47" xr10:uidLastSave="{6BE7047F-B520-4DEA-A810-E7B01054E846}"/>
  <bookViews>
    <workbookView xWindow="45915" yWindow="315" windowWidth="38610" windowHeight="20700" xr2:uid="{8C7FE6C5-3928-4CF5-953E-D926E74C66DE}"/>
  </bookViews>
  <sheets>
    <sheet name="EPA AE1 Grade Calculator "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 i="1" l="1"/>
  <c r="H23" i="1"/>
  <c r="K31" i="1"/>
  <c r="H31" i="1"/>
  <c r="H26" i="1"/>
  <c r="K26" i="1"/>
  <c r="K44" i="1"/>
  <c r="H44" i="1"/>
  <c r="H50" i="1"/>
  <c r="H47" i="1"/>
  <c r="H38" i="1"/>
  <c r="H37" i="1"/>
  <c r="H34" i="1"/>
  <c r="H21" i="1"/>
  <c r="K30" i="1"/>
  <c r="K42" i="1"/>
  <c r="H42" i="1"/>
  <c r="K23" i="1"/>
  <c r="K22" i="1"/>
  <c r="H22" i="1"/>
  <c r="K8" i="1"/>
  <c r="K43" i="1"/>
  <c r="H29" i="1"/>
  <c r="H43" i="1"/>
  <c r="H41" i="1"/>
  <c r="H20" i="1"/>
  <c r="K50" i="1"/>
  <c r="K47" i="1"/>
  <c r="K38" i="1"/>
  <c r="K37" i="1"/>
  <c r="K34" i="1"/>
  <c r="K29" i="1"/>
  <c r="K21" i="1"/>
  <c r="K20" i="1"/>
  <c r="H58" i="1" l="1"/>
  <c r="H57" i="1"/>
  <c r="H56" i="1"/>
  <c r="H55" i="1"/>
  <c r="H17" i="1"/>
  <c r="H16" i="1"/>
  <c r="H15" i="1"/>
  <c r="K41" i="1"/>
  <c r="K17" i="1"/>
  <c r="K55" i="1"/>
  <c r="K56" i="1"/>
  <c r="K57" i="1"/>
  <c r="K58" i="1"/>
  <c r="K16" i="1"/>
  <c r="K15" i="1"/>
  <c r="H10" i="1" l="1" a="1"/>
  <c r="L2" i="1"/>
  <c r="I10" i="1" s="1"/>
  <c r="L10"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<sst xmlns="http://schemas.openxmlformats.org/spreadsheetml/2006/main" count="110" uniqueCount="86">
  <si>
    <t>Overall Grade</t>
  </si>
  <si>
    <t>Apprentice Name</t>
  </si>
  <si>
    <t>DATE</t>
  </si>
  <si>
    <t>Themes</t>
  </si>
  <si>
    <t>Justifies their methods of research and evaluation which determined the selection of digital and technology solutions identified for the project. (K18)</t>
  </si>
  <si>
    <t xml:space="preserve">Compares and contrasts  their chosen digital technology solution to  alternative approaches within their research outcomes. (K18, S13) </t>
  </si>
  <si>
    <t xml:space="preserve">Presents an overview of the project to appropriate stakeholders using appropriate 
language and style.  
(K17, S13, B5)     </t>
  </si>
  <si>
    <t xml:space="preserve">Core - Project Planning 
and Resources 
(A: Underlying 
Principles) </t>
  </si>
  <si>
    <t>KSB</t>
  </si>
  <si>
    <t>K1</t>
  </si>
  <si>
    <t>K2</t>
  </si>
  <si>
    <t>K18</t>
  </si>
  <si>
    <t>K17, S13, B5</t>
  </si>
  <si>
    <t>Core - The Organisational Context 
(A: Underlying Principles)</t>
  </si>
  <si>
    <t xml:space="preserve">Research information on innovative technologies/approaches and investigates and 
evaluates them in the development of a digital and technology solution. (S14) </t>
  </si>
  <si>
    <t>K3, S2</t>
  </si>
  <si>
    <t>K4</t>
  </si>
  <si>
    <t>K15</t>
  </si>
  <si>
    <t>S14</t>
  </si>
  <si>
    <t>Justifies the selection and use of standard processes and methods. (K5, S5)</t>
  </si>
  <si>
    <t>Identifies the role digital technology solutions play in gaining a competitive advantage by adapting and exploiting them (K1)</t>
  </si>
  <si>
    <t>Explains the principles of strategic decision making concerning the acquisition or development of digital and technology solutions. (K2)</t>
  </si>
  <si>
    <t>n/a</t>
  </si>
  <si>
    <t>Manages the project delivery to achieve digital and technology solutions. (S6)</t>
  </si>
  <si>
    <t xml:space="preserve">Carries out the identified solution proposal utilising a range of digital tools and standard approaches. (K5, S5)   </t>
  </si>
  <si>
    <t>K5, S5</t>
  </si>
  <si>
    <t>S6</t>
  </si>
  <si>
    <t>S1</t>
  </si>
  <si>
    <t>Analyses the business problem behind the project proposal to identify the role of digital and technology solutions. (S1)</t>
  </si>
  <si>
    <t>Justifies their choice of digital and technology solutions for specific roles in the project proposal. (S1)</t>
  </si>
  <si>
    <t>Analyses relevant evidence to produce a proposal for a digital and technology-based 
project in line with legal, ethical and regulatory requirements whilst ensuring the 
protection of personal data, safety and security (S3, B3)</t>
  </si>
  <si>
    <t>S3, B3</t>
  </si>
  <si>
    <t>Apprenticeship</t>
  </si>
  <si>
    <t>Degree</t>
  </si>
  <si>
    <t>Assessor Name</t>
  </si>
  <si>
    <r>
      <rPr>
        <b/>
        <sz val="36"/>
        <color theme="0"/>
        <rFont val="Trebuchet MS"/>
        <family val="2"/>
      </rPr>
      <t>PASS</t>
    </r>
    <r>
      <rPr>
        <b/>
        <sz val="18"/>
        <color theme="0"/>
        <rFont val="Trebuchet MS"/>
        <family val="2"/>
      </rPr>
      <t xml:space="preserve">
Apprentices must demonstrate </t>
    </r>
    <r>
      <rPr>
        <b/>
        <u/>
        <sz val="18"/>
        <color theme="0"/>
        <rFont val="Trebuchet MS"/>
        <family val="2"/>
      </rPr>
      <t>ALL</t>
    </r>
    <r>
      <rPr>
        <b/>
        <sz val="18"/>
        <color theme="0"/>
        <rFont val="Trebuchet MS"/>
        <family val="2"/>
      </rPr>
      <t xml:space="preserve"> the Pass descriptors</t>
    </r>
  </si>
  <si>
    <t>Distinction Criteria</t>
  </si>
  <si>
    <t xml:space="preserve">Core - Project Delivery  
(B: Technical 
Solutions) </t>
  </si>
  <si>
    <t>Degree Criteria</t>
  </si>
  <si>
    <t xml:space="preserve">Add Grade </t>
  </si>
  <si>
    <t>The project applies techniques to estimate cost and time resource constraints. (K15)</t>
  </si>
  <si>
    <t>Evaluates appropriate techniques and approaches that are used in creating a business case (K4)</t>
  </si>
  <si>
    <t>Produces a project plan which estimates risks and opportunities  and determines mitigation strategies. (K3, S2)</t>
  </si>
  <si>
    <t xml:space="preserve">Core - Solutions
Proposal  
(Theme C: Innovation 
&amp; Response) </t>
  </si>
  <si>
    <r>
      <rPr>
        <b/>
        <sz val="14"/>
        <rFont val="Trebuchet MS"/>
        <family val="2"/>
      </rPr>
      <t>Core - Project Planning and Resources 
(A: Underlying 
Principle</t>
    </r>
    <r>
      <rPr>
        <b/>
        <sz val="14"/>
        <color theme="1"/>
        <rFont val="Trebuchet MS"/>
        <family val="2"/>
      </rPr>
      <t xml:space="preserve">s) </t>
    </r>
  </si>
  <si>
    <t xml:space="preserve">Core - Project Evaluation 
(A: Underlying 
Principles) </t>
  </si>
  <si>
    <t>K18, S13</t>
  </si>
  <si>
    <r>
      <rPr>
        <b/>
        <sz val="36"/>
        <color theme="0"/>
        <rFont val="Trebuchet MS"/>
        <family val="2"/>
      </rPr>
      <t>Distinction</t>
    </r>
    <r>
      <rPr>
        <b/>
        <sz val="14"/>
        <color theme="0"/>
        <rFont val="Trebuchet MS"/>
        <family val="2"/>
      </rPr>
      <t xml:space="preserve">
</t>
    </r>
    <r>
      <rPr>
        <b/>
        <sz val="18"/>
        <color theme="0"/>
        <rFont val="Trebuchet MS"/>
        <family val="2"/>
      </rPr>
      <t xml:space="preserve">Apprentices must demonstrate </t>
    </r>
    <r>
      <rPr>
        <b/>
        <u/>
        <sz val="18"/>
        <color theme="0"/>
        <rFont val="Trebuchet MS"/>
        <family val="2"/>
      </rPr>
      <t>ALL</t>
    </r>
    <r>
      <rPr>
        <b/>
        <sz val="18"/>
        <color theme="0"/>
        <rFont val="Trebuchet MS"/>
        <family val="2"/>
      </rPr>
      <t xml:space="preserve"> the Pass &amp; </t>
    </r>
    <r>
      <rPr>
        <b/>
        <u/>
        <sz val="18"/>
        <color theme="0"/>
        <rFont val="Trebuchet MS"/>
        <family val="2"/>
      </rPr>
      <t>ALL</t>
    </r>
    <r>
      <rPr>
        <b/>
        <sz val="18"/>
        <color theme="0"/>
        <rFont val="Trebuchet MS"/>
        <family val="2"/>
      </rPr>
      <t xml:space="preserve"> of   the Distinction descriptors</t>
    </r>
  </si>
  <si>
    <r>
      <t xml:space="preserve">Project Management </t>
    </r>
    <r>
      <rPr>
        <sz val="28"/>
        <color theme="0"/>
        <rFont val="Trebuchet MS"/>
        <family val="2"/>
      </rPr>
      <t>- How the work was planned and controlled</t>
    </r>
  </si>
  <si>
    <r>
      <t>Professional, Legal &amp; Ethical Issues</t>
    </r>
    <r>
      <rPr>
        <sz val="28"/>
        <color theme="0"/>
        <rFont val="Trebuchet MS"/>
        <family val="2"/>
      </rPr>
      <t xml:space="preserve"> - How compliance, security and ethics were addressed</t>
    </r>
  </si>
  <si>
    <r>
      <t xml:space="preserve">Methods, Tools &amp; Technologies </t>
    </r>
    <r>
      <rPr>
        <sz val="28"/>
        <color theme="0"/>
        <rFont val="Trebuchet MS"/>
        <family val="2"/>
      </rPr>
      <t>- How the project was analysed and delivered</t>
    </r>
  </si>
  <si>
    <r>
      <t xml:space="preserve">Requirements </t>
    </r>
    <r>
      <rPr>
        <sz val="28"/>
        <color theme="0"/>
        <rFont val="Trebuchet MS"/>
        <family val="2"/>
      </rPr>
      <t>- What the solution must achieve</t>
    </r>
  </si>
  <si>
    <r>
      <t xml:space="preserve">Research </t>
    </r>
    <r>
      <rPr>
        <sz val="28"/>
        <color theme="0"/>
        <rFont val="Trebuchet MS"/>
        <family val="2"/>
      </rPr>
      <t>- What was investigated and what informed the recommendation</t>
    </r>
  </si>
  <si>
    <r>
      <t xml:space="preserve">Introduction </t>
    </r>
    <r>
      <rPr>
        <sz val="28"/>
        <color theme="0"/>
        <rFont val="Trebuchet MS"/>
        <family val="2"/>
      </rPr>
      <t>- Why this project matters and why this solution was chosen</t>
    </r>
  </si>
  <si>
    <r>
      <t xml:space="preserve"> Implementation, Design, Testing &amp; Evaluation </t>
    </r>
    <r>
      <rPr>
        <sz val="28"/>
        <color theme="0"/>
        <rFont val="Trebuchet MS"/>
        <family val="2"/>
      </rPr>
      <t>- How the solution was built, tested and assured</t>
    </r>
  </si>
  <si>
    <r>
      <t>Project Outcomes &amp; Results</t>
    </r>
    <r>
      <rPr>
        <sz val="28"/>
        <color theme="0"/>
        <rFont val="Trebuchet MS"/>
        <family val="2"/>
      </rPr>
      <t xml:space="preserve"> - What was achieved and the value delivered</t>
    </r>
  </si>
  <si>
    <t>Conclusions &amp; Recommendations - What was learned and what could be improved next time</t>
  </si>
  <si>
    <t xml:space="preserve">Distinction Criteria Available </t>
  </si>
  <si>
    <t>This grading sheet will be used to determine the apprenticeship EPA outcome (Pass or Distinction) and assign a numerical value for the credited COM627 EPA module. This value will contribute to the calculation of the final degree classification (1st, 2:1, 2:2 or 3rd) for the BSc Digital and Technology Solutions Professional Degree Apprenticeship. The grading decision will be made in conjunction with the EPA assessor's written feedback sheet against the Knowledge, Skills and Behaviours (KSBs), together with the final EPA AE1 sign-off.</t>
  </si>
  <si>
    <t xml:space="preserve">Core -
Project Requirements 
(Theme D: Legal, 
Ethics &amp; Landscape) </t>
  </si>
  <si>
    <t>Cyber Security -  DTS - Workbased Project EPA - Assessment  1</t>
  </si>
  <si>
    <t xml:space="preserve">cyber security 
(Theme C: Innovation and Response) </t>
  </si>
  <si>
    <t>Demonstrate how they recommend improvements to the cyber security approaches of an organisation based on research into future potential cyber threats and considering threat trends in the project. (S42/CSS3)</t>
  </si>
  <si>
    <t>S42/CSS3</t>
  </si>
  <si>
    <t>Demonstrate how they analyse cyber security requirements in the project against other design requirements for systems or products and identify conflicting requirements and recommend appropriate solutions with clear explanation of costs/benefits. (S46/CSS7)</t>
  </si>
  <si>
    <t>S46/CSS7</t>
  </si>
  <si>
    <t>Explains the principles of cyber security tools and techniques as related to the project. (K45/CSK1)</t>
  </si>
  <si>
    <t>K45/CSK1</t>
  </si>
  <si>
    <t>cyber security
(A: Underlying Principles)</t>
  </si>
  <si>
    <t xml:space="preserve">Relates the principles of security architectures and methodologies to the project. (K51/CSK7)  </t>
  </si>
  <si>
    <t>K51/CSK7</t>
  </si>
  <si>
    <t>Describes approaches to deployment of cyber security technology components in digital systems to provide security functionality. (K52/CSK8)</t>
  </si>
  <si>
    <t>K52/CSK8</t>
  </si>
  <si>
    <t>Justifies their choice of approach to deployment of cyber security technology components in digital systems to provide security functionality within the project. (K52/CSK8)</t>
  </si>
  <si>
    <t xml:space="preserve">Demonstrate how they discover, identify and analyse security threats, attack techniques and vulnerabilities using cyber security architectures, methodologies, tools and techniques to recommend mitigation and security controls in the project. (S40/CSS1)   </t>
  </si>
  <si>
    <t>S40/CSS1</t>
  </si>
  <si>
    <t>Critically evaluates how they discover, identify and analyse security threats, attack techniques and vulnerabilities and recommend mitigation and security controls in the project (S40/CSS1)</t>
  </si>
  <si>
    <t>cyber security 
(Theme: B: Technical Solutions)</t>
  </si>
  <si>
    <t>Selects and applies cyber security tools and techniques in relation to the risks identified in the context of the project. (S44/CSS5)</t>
  </si>
  <si>
    <t>S44/CSS5</t>
  </si>
  <si>
    <t>Demonstrate how they lead the design and build of systems in accordance with a security case to address organisational challenges in the project. (S47/CSS8)</t>
  </si>
  <si>
    <t>S47/CSS8</t>
  </si>
  <si>
    <t>Assessment Principle</t>
  </si>
  <si>
    <t>The mapping between report sections and KSBs is provided as a guide to support assessment and consistency of grading. It is not intended to be prescriptive. Apprentices may demonstrate KSB attainment in any part of their report and may evidence the same KSB multiple times through different aspects of their work. Assessors should make holistic judgements based on the submission, recognising evidence wherever it appears and giving credit where the requirements of the KSB have been convincingly demonstrated.</t>
  </si>
  <si>
    <r>
      <rPr>
        <b/>
        <sz val="24"/>
        <color rgb="FFFFC000"/>
        <rFont val="Aptos Display"/>
        <family val="2"/>
        <scheme val="major"/>
      </rPr>
      <t>Cyber Security Pathway</t>
    </r>
    <r>
      <rPr>
        <b/>
        <sz val="24"/>
        <color theme="0"/>
        <rFont val="Aptos Display"/>
        <family val="2"/>
        <scheme val="major"/>
      </rPr>
      <t xml:space="preserve"> - BSc Digital &amp; Technology Solutions Degree Apprenticeship  (Standard 1.2) - Version: October 2026</t>
    </r>
  </si>
  <si>
    <t>Core- Project Evaluation (Theme A – Underlying Principles)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</si>
</sst>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4" x14ac:knownFonts="1">
    <font>
      <sz val="11"/>
      <color theme="1"/>
      <name val="Aptos Narrow"/>
      <family val="2"/>
      <scheme val="minor"/>
    </font>
    <font>
      <b/>
      <sz val="18"/>
      <name val="Trebuchet MS"/>
      <family val="2"/>
    </font>
    <font>
      <sz val="8"/>
      <name val="Aptos Narrow"/>
      <family val="2"/>
      <scheme val="minor"/>
    </font>
    <font>
      <sz val="22"/>
      <color theme="1"/>
      <name val="Trebuchet MS"/>
      <family val="2"/>
    </font>
    <font>
      <b/>
      <sz val="36"/>
      <color theme="1"/>
      <name val="Aptos Narrow"/>
      <family val="2"/>
      <scheme val="minor"/>
    </font>
    <font>
      <b/>
      <sz val="14"/>
      <color theme="0"/>
      <name val="Trebuchet MS"/>
      <family val="2"/>
    </font>
    <font>
      <b/>
      <sz val="18"/>
      <color theme="0"/>
      <name val="Aptos Display"/>
      <family val="2"/>
      <scheme val="major"/>
    </font>
    <font>
      <b/>
      <sz val="18"/>
      <name val="Aptos Display"/>
      <family val="2"/>
      <scheme val="major"/>
    </font>
    <font>
      <b/>
      <sz val="24"/>
      <color theme="1"/>
      <name val="Aptos Narrow"/>
      <family val="2"/>
      <scheme val="minor"/>
    </font>
    <font>
      <sz val="11"/>
      <color rgb="FFFF0000"/>
      <name val="Aptos Narrow"/>
      <family val="2"/>
      <scheme val="minor"/>
    </font>
    <font>
      <sz val="11"/>
      <color theme="0"/>
      <name val="Aptos Narrow"/>
      <family val="2"/>
      <scheme val="minor"/>
    </font>
    <font>
      <b/>
      <sz val="14"/>
      <color theme="1"/>
      <name val="Trebuchet MS"/>
      <family val="2"/>
    </font>
    <font>
      <sz val="14"/>
      <color theme="1"/>
      <name val="Trebuchet MS"/>
      <family val="2"/>
    </font>
    <font>
      <b/>
      <sz val="18"/>
      <color theme="1"/>
      <name val="Trebuchet MS"/>
      <family val="2"/>
    </font>
    <font>
      <b/>
      <sz val="14"/>
      <name val="Trebuchet MS"/>
      <family val="2"/>
    </font>
    <font>
      <sz val="14"/>
      <name val="Trebuchet MS"/>
      <family val="2"/>
    </font>
    <font>
      <b/>
      <sz val="22"/>
      <name val="Trebuchet MS"/>
      <family val="2"/>
    </font>
    <font>
      <sz val="14"/>
      <color rgb="FFFF0000"/>
      <name val="Aptos Narrow"/>
      <family val="2"/>
      <scheme val="minor"/>
    </font>
    <font>
      <b/>
      <sz val="14"/>
      <color theme="1"/>
      <name val="Aptos Narrow"/>
      <family val="2"/>
      <scheme val="minor"/>
    </font>
    <font>
      <b/>
      <sz val="24"/>
      <color theme="0"/>
      <name val="Aptos Display"/>
      <family val="2"/>
      <scheme val="major"/>
    </font>
    <font>
      <b/>
      <sz val="24"/>
      <color rgb="FFFFC000"/>
      <name val="Aptos Display"/>
      <family val="2"/>
      <scheme val="major"/>
    </font>
    <font>
      <b/>
      <sz val="24"/>
      <color theme="0"/>
      <name val="Aptos Narrow"/>
      <family val="2"/>
      <scheme val="minor"/>
    </font>
    <font>
      <b/>
      <sz val="18"/>
      <color theme="0"/>
      <name val="Trebuchet MS"/>
      <family val="2"/>
    </font>
    <font>
      <b/>
      <sz val="20"/>
      <color rgb="FF000000"/>
      <name val="Trebuchet MS"/>
      <family val="2"/>
    </font>
    <font>
      <b/>
      <sz val="24"/>
      <color rgb="FF000000"/>
      <name val="Trebuchet MS"/>
      <family val="2"/>
    </font>
    <font>
      <b/>
      <u/>
      <sz val="18"/>
      <color theme="0"/>
      <name val="Trebuchet MS"/>
      <family val="2"/>
    </font>
    <font>
      <b/>
      <sz val="24"/>
      <name val="Aptos Narrow"/>
      <family val="2"/>
      <scheme val="minor"/>
    </font>
    <font>
      <b/>
      <sz val="48"/>
      <color theme="1"/>
      <name val="Aptos Narrow"/>
      <family val="2"/>
      <scheme val="minor"/>
    </font>
    <font>
      <sz val="11"/>
      <name val="Aptos Narrow"/>
      <family val="2"/>
      <scheme val="minor"/>
    </font>
    <font>
      <b/>
      <sz val="36"/>
      <name val="Aptos Narrow"/>
      <family val="2"/>
      <scheme val="minor"/>
    </font>
    <font>
      <b/>
      <sz val="36"/>
      <color theme="0"/>
      <name val="Trebuchet MS"/>
      <family val="2"/>
    </font>
    <font>
      <sz val="18"/>
      <name val="Aptos Narrow"/>
      <family val="2"/>
      <scheme val="minor"/>
    </font>
    <font>
      <b/>
      <sz val="20"/>
      <color theme="0"/>
      <name val="Trebuchet MS"/>
      <family val="2"/>
    </font>
    <font>
      <b/>
      <sz val="18"/>
      <color rgb="FFFF0000"/>
      <name val="Trebuchet MS"/>
      <family val="2"/>
    </font>
    <font>
      <sz val="22"/>
      <color rgb="FFFF0000"/>
      <name val="Trebuchet MS"/>
      <family val="2"/>
    </font>
    <font>
      <sz val="24"/>
      <color rgb="FF000000"/>
      <name val="Trebuchet MS"/>
      <family val="2"/>
    </font>
    <font>
      <b/>
      <sz val="28"/>
      <color theme="0"/>
      <name val="Trebuchet MS"/>
      <family val="2"/>
    </font>
    <font>
      <sz val="18"/>
      <name val="Trebuchet MS"/>
      <family val="2"/>
    </font>
    <font>
      <sz val="20"/>
      <color theme="0"/>
      <name val="Aptos Narrow"/>
      <family val="2"/>
      <scheme val="minor"/>
    </font>
    <font>
      <sz val="28"/>
      <color theme="0"/>
      <name val="Trebuchet MS"/>
      <family val="2"/>
    </font>
    <font>
      <b/>
      <sz val="24"/>
      <name val="Aptos Display"/>
      <family val="2"/>
      <scheme val="major"/>
    </font>
    <font>
      <sz val="20"/>
      <name val="Aptos Narrow"/>
      <family val="2"/>
      <scheme val="minor"/>
    </font>
    <font>
      <b/>
      <sz val="36"/>
      <color theme="0"/>
      <name val="Aptos Narrow"/>
      <family val="2"/>
      <scheme val="minor"/>
    </font>
    <font>
      <b/>
      <sz val="22"/>
      <color theme="0"/>
      <name val="Aptos Display"/>
      <family val="2"/>
      <scheme val="major"/>
    </font>
  </fonts>
  <fills count="21">
    <fill>
      <patternFill patternType="none"/>
    </fill>
    <fill>
      <patternFill patternType="gray125"/>
    </fill>
    <fill>
      <patternFill patternType="solid">
        <fgColor theme="1"/>
        <bgColor indexed="64"/>
      </patternFill>
    </fill>
    <fill>
      <patternFill patternType="solid">
        <fgColor rgb="FFFFFF00"/>
        <bgColor indexed="64"/>
      </patternFill>
    </fill>
    <fill>
      <patternFill patternType="solid">
        <fgColor theme="0" tint="-4.9989318521683403E-2"/>
        <bgColor indexed="64"/>
      </patternFill>
    </fill>
    <fill>
      <patternFill patternType="solid">
        <fgColor rgb="FFFFC000"/>
        <bgColor indexed="64"/>
      </patternFill>
    </fill>
    <fill>
      <patternFill patternType="solid">
        <fgColor rgb="FFFF0000"/>
        <bgColor indexed="64"/>
      </patternFill>
    </fill>
    <fill>
      <patternFill patternType="solid">
        <fgColor theme="0"/>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8ED973"/>
        <bgColor indexed="64"/>
      </patternFill>
    </fill>
    <fill>
      <patternFill patternType="solid">
        <fgColor theme="5" tint="0.79998168889431442"/>
        <bgColor indexed="64"/>
      </patternFill>
    </fill>
    <fill>
      <patternFill patternType="solid">
        <fgColor rgb="FFC0E6F5"/>
        <bgColor indexed="64"/>
      </patternFill>
    </fill>
    <fill>
      <patternFill patternType="solid">
        <fgColor rgb="FF94DCF8"/>
        <bgColor indexed="64"/>
      </patternFill>
    </fill>
    <fill>
      <patternFill patternType="solid">
        <fgColor theme="6" tint="0.79998168889431442"/>
        <bgColor indexed="64"/>
      </patternFill>
    </fill>
    <fill>
      <patternFill patternType="solid">
        <fgColor rgb="FFB5E6A2"/>
        <bgColor indexed="64"/>
      </patternFill>
    </fill>
    <fill>
      <patternFill patternType="solid">
        <fgColor rgb="FFE49EDD"/>
        <bgColor indexed="64"/>
      </patternFill>
    </fill>
    <fill>
      <patternFill patternType="solid">
        <fgColor rgb="FFF2CEEF"/>
        <bgColor indexed="64"/>
      </patternFill>
    </fill>
  </fills>
  <borders count="46">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right/>
      <top/>
      <bottom style="medium">
        <color indexed="64"/>
      </bottom>
      <diagonal/>
    </border>
    <border>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auto="1"/>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diagonal/>
    </border>
    <border>
      <left/>
      <right style="medium">
        <color indexed="64"/>
      </right>
      <top/>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right/>
      <top style="medium">
        <color indexed="64"/>
      </top>
      <bottom style="thin">
        <color indexed="64"/>
      </bottom>
      <diagonal/>
    </border>
    <border>
      <left/>
      <right/>
      <top style="thin">
        <color indexed="64"/>
      </top>
      <bottom style="thin">
        <color indexed="64"/>
      </bottom>
      <diagonal/>
    </border>
    <border>
      <left style="thin">
        <color indexed="64"/>
      </left>
      <right style="medium">
        <color indexed="64"/>
      </right>
      <top style="medium">
        <color indexed="64"/>
      </top>
      <bottom/>
      <diagonal/>
    </border>
    <border>
      <left style="thin">
        <color indexed="64"/>
      </left>
      <right/>
      <top style="thin">
        <color indexed="64"/>
      </top>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thin">
        <color indexed="64"/>
      </left>
      <right/>
      <top/>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s>
  <cellStyleXfs count="1">
    <xf numFmtId="0" fontId="0" fillId="0" borderId="0"/>
  </cellStyleXfs>
  <cellXfs count="221">
    <xf numFmtId="0" fontId="0" fillId="0" borderId="0" xfId="0"/>
    <xf numFmtId="0" fontId="6" fillId="0" borderId="0" xfId="0" applyFont="1" applyAlignment="1">
      <alignment horizontal="center" vertical="center"/>
    </xf>
    <xf numFmtId="0" fontId="9" fillId="0" borderId="0" xfId="0" applyFont="1"/>
    <xf numFmtId="0" fontId="9" fillId="7" borderId="0" xfId="0" applyFont="1" applyFill="1"/>
    <xf numFmtId="0" fontId="7" fillId="0" borderId="0" xfId="0" applyFont="1" applyAlignment="1" applyProtection="1">
      <alignment horizontal="center" vertical="center"/>
      <protection locked="0"/>
    </xf>
    <xf numFmtId="0" fontId="7" fillId="3" borderId="1" xfId="0" applyFont="1" applyFill="1" applyBorder="1" applyAlignment="1" applyProtection="1">
      <alignment horizontal="center" vertical="center"/>
      <protection locked="0"/>
    </xf>
    <xf numFmtId="0" fontId="28" fillId="0" borderId="0" xfId="0" applyFont="1"/>
    <xf numFmtId="0" fontId="29" fillId="7" borderId="0" xfId="0" applyFont="1" applyFill="1" applyAlignment="1">
      <alignment horizontal="center" vertical="center" wrapText="1"/>
    </xf>
    <xf numFmtId="0" fontId="16" fillId="3" borderId="17" xfId="0" quotePrefix="1" applyFont="1" applyFill="1" applyBorder="1" applyAlignment="1" applyProtection="1">
      <alignment horizontal="center" vertical="center" wrapText="1"/>
      <protection locked="0"/>
    </xf>
    <xf numFmtId="0" fontId="16" fillId="3" borderId="18" xfId="0" quotePrefix="1" applyFont="1" applyFill="1" applyBorder="1" applyAlignment="1" applyProtection="1">
      <alignment horizontal="center" vertical="center" wrapText="1"/>
      <protection locked="0"/>
    </xf>
    <xf numFmtId="0" fontId="16" fillId="3" borderId="20" xfId="0" quotePrefix="1" applyFont="1" applyFill="1" applyBorder="1" applyAlignment="1" applyProtection="1">
      <alignment horizontal="center" vertical="center" wrapText="1"/>
      <protection locked="0"/>
    </xf>
    <xf numFmtId="0" fontId="16" fillId="3" borderId="1" xfId="0" quotePrefix="1" applyFont="1" applyFill="1" applyBorder="1" applyAlignment="1" applyProtection="1">
      <alignment horizontal="center" vertical="center" wrapText="1"/>
      <protection locked="0"/>
    </xf>
    <xf numFmtId="0" fontId="26" fillId="3" borderId="2" xfId="0" applyFont="1" applyFill="1" applyBorder="1" applyAlignment="1">
      <alignment horizontal="center" vertical="center" wrapText="1"/>
    </xf>
    <xf numFmtId="0" fontId="12" fillId="0" borderId="0" xfId="0" applyFont="1" applyAlignment="1">
      <alignment horizontal="left" vertical="center" wrapText="1" indent="2"/>
    </xf>
    <xf numFmtId="0" fontId="13" fillId="0" borderId="0" xfId="0" applyFont="1" applyAlignment="1">
      <alignment horizontal="center" vertical="center" wrapText="1"/>
    </xf>
    <xf numFmtId="0" fontId="12" fillId="0" borderId="0" xfId="0" applyFont="1" applyAlignment="1">
      <alignment vertical="center" wrapText="1"/>
    </xf>
    <xf numFmtId="0" fontId="12" fillId="8" borderId="25" xfId="0" applyFont="1" applyFill="1" applyBorder="1" applyAlignment="1">
      <alignment horizontal="left" vertical="center" wrapText="1" indent="2"/>
    </xf>
    <xf numFmtId="0" fontId="13" fillId="8" borderId="25" xfId="0" applyFont="1" applyFill="1" applyBorder="1" applyAlignment="1">
      <alignment horizontal="center" vertical="center" wrapText="1"/>
    </xf>
    <xf numFmtId="0" fontId="12" fillId="8" borderId="22" xfId="0" applyFont="1" applyFill="1" applyBorder="1" applyAlignment="1">
      <alignment horizontal="left" vertical="center" wrapText="1" indent="2"/>
    </xf>
    <xf numFmtId="0" fontId="13" fillId="8" borderId="22" xfId="0" applyFont="1" applyFill="1" applyBorder="1" applyAlignment="1">
      <alignment horizontal="center" vertical="center" wrapText="1"/>
    </xf>
    <xf numFmtId="0" fontId="3" fillId="0" borderId="0" xfId="0" applyFont="1" applyAlignment="1">
      <alignment horizontal="center" vertical="center" wrapText="1"/>
    </xf>
    <xf numFmtId="0" fontId="16" fillId="0" borderId="0" xfId="0" quotePrefix="1" applyFont="1" applyAlignment="1" applyProtection="1">
      <alignment horizontal="center" vertical="center" wrapText="1"/>
      <protection locked="0"/>
    </xf>
    <xf numFmtId="0" fontId="31" fillId="0" borderId="0" xfId="0" applyFont="1" applyAlignment="1">
      <alignment horizontal="center" vertical="center" wrapText="1"/>
    </xf>
    <xf numFmtId="0" fontId="11" fillId="0" borderId="0" xfId="0" applyFont="1" applyAlignment="1">
      <alignment horizontal="center" vertical="center" wrapText="1"/>
    </xf>
    <xf numFmtId="0" fontId="12" fillId="8" borderId="21" xfId="0" applyFont="1" applyFill="1" applyBorder="1" applyAlignment="1">
      <alignment horizontal="left" vertical="center" wrapText="1" indent="2"/>
    </xf>
    <xf numFmtId="0" fontId="13" fillId="8" borderId="21" xfId="0" applyFont="1" applyFill="1" applyBorder="1" applyAlignment="1">
      <alignment horizontal="center" vertical="center" wrapText="1"/>
    </xf>
    <xf numFmtId="0" fontId="12" fillId="10" borderId="22" xfId="0" applyFont="1" applyFill="1" applyBorder="1" applyAlignment="1">
      <alignment horizontal="left" vertical="center" wrapText="1" indent="2"/>
    </xf>
    <xf numFmtId="0" fontId="13" fillId="10" borderId="22" xfId="0" applyFont="1" applyFill="1" applyBorder="1" applyAlignment="1">
      <alignment horizontal="center" vertical="center" wrapText="1"/>
    </xf>
    <xf numFmtId="0" fontId="12" fillId="9" borderId="22" xfId="0" applyFont="1" applyFill="1" applyBorder="1" applyAlignment="1">
      <alignment horizontal="left" vertical="center" wrapText="1" indent="2"/>
    </xf>
    <xf numFmtId="0" fontId="12" fillId="15" borderId="21" xfId="0" applyFont="1" applyFill="1" applyBorder="1" applyAlignment="1">
      <alignment horizontal="left" vertical="center" wrapText="1" indent="2"/>
    </xf>
    <xf numFmtId="0" fontId="13" fillId="15" borderId="21" xfId="0" applyFont="1" applyFill="1" applyBorder="1" applyAlignment="1">
      <alignment horizontal="center" vertical="center" wrapText="1"/>
    </xf>
    <xf numFmtId="0" fontId="33" fillId="3" borderId="29" xfId="0" applyFont="1" applyFill="1" applyBorder="1" applyAlignment="1">
      <alignment horizontal="center" vertical="center" wrapText="1"/>
    </xf>
    <xf numFmtId="0" fontId="33" fillId="3" borderId="26" xfId="0" applyFont="1" applyFill="1" applyBorder="1" applyAlignment="1">
      <alignment horizontal="center" vertical="center" wrapText="1"/>
    </xf>
    <xf numFmtId="0" fontId="32" fillId="6" borderId="1" xfId="0" applyFont="1" applyFill="1" applyBorder="1" applyAlignment="1">
      <alignment horizontal="center" vertical="center" wrapText="1"/>
    </xf>
    <xf numFmtId="0" fontId="11" fillId="12" borderId="10" xfId="0" applyFont="1" applyFill="1" applyBorder="1" applyAlignment="1">
      <alignment horizontal="center" vertical="center" wrapText="1"/>
    </xf>
    <xf numFmtId="0" fontId="11" fillId="11" borderId="12" xfId="0" applyFont="1" applyFill="1" applyBorder="1" applyAlignment="1">
      <alignment horizontal="center" vertical="center" wrapText="1"/>
    </xf>
    <xf numFmtId="0" fontId="15" fillId="8" borderId="21" xfId="0" applyFont="1" applyFill="1" applyBorder="1" applyAlignment="1">
      <alignment horizontal="left" vertical="center" wrapText="1" indent="2"/>
    </xf>
    <xf numFmtId="0" fontId="15" fillId="8" borderId="25" xfId="0" applyFont="1" applyFill="1" applyBorder="1" applyAlignment="1">
      <alignment horizontal="left" vertical="center" wrapText="1" indent="2"/>
    </xf>
    <xf numFmtId="0" fontId="12" fillId="9" borderId="25" xfId="0" applyFont="1" applyFill="1" applyBorder="1" applyAlignment="1">
      <alignment horizontal="left" vertical="center" wrapText="1" indent="2"/>
    </xf>
    <xf numFmtId="0" fontId="13" fillId="9" borderId="25" xfId="0" applyFont="1" applyFill="1" applyBorder="1" applyAlignment="1">
      <alignment horizontal="center" vertical="center" wrapText="1"/>
    </xf>
    <xf numFmtId="0" fontId="14" fillId="11" borderId="12" xfId="0" applyFont="1" applyFill="1" applyBorder="1" applyAlignment="1">
      <alignment horizontal="center" vertical="center" wrapText="1"/>
    </xf>
    <xf numFmtId="0" fontId="15" fillId="10" borderId="22" xfId="0" applyFont="1" applyFill="1" applyBorder="1" applyAlignment="1">
      <alignment horizontal="left" vertical="center" wrapText="1" indent="2"/>
    </xf>
    <xf numFmtId="0" fontId="1" fillId="10" borderId="22" xfId="0" applyFont="1" applyFill="1" applyBorder="1" applyAlignment="1">
      <alignment horizontal="center" vertical="center" wrapText="1"/>
    </xf>
    <xf numFmtId="0" fontId="12" fillId="9" borderId="25" xfId="0" applyFont="1" applyFill="1" applyBorder="1" applyAlignment="1">
      <alignment horizontal="left" vertical="center" wrapText="1" indent="1"/>
    </xf>
    <xf numFmtId="0" fontId="11" fillId="13" borderId="14" xfId="0" applyFont="1" applyFill="1" applyBorder="1" applyAlignment="1">
      <alignment horizontal="center" vertical="center" wrapText="1"/>
    </xf>
    <xf numFmtId="0" fontId="3" fillId="4" borderId="17" xfId="0" applyFont="1" applyFill="1" applyBorder="1" applyAlignment="1">
      <alignment horizontal="center" vertical="center" wrapText="1"/>
    </xf>
    <xf numFmtId="0" fontId="3" fillId="4" borderId="20" xfId="0" applyFont="1" applyFill="1" applyBorder="1" applyAlignment="1">
      <alignment horizontal="center" vertical="center" wrapText="1"/>
    </xf>
    <xf numFmtId="0" fontId="3" fillId="4" borderId="18" xfId="0" applyFont="1" applyFill="1" applyBorder="1" applyAlignment="1">
      <alignment horizontal="center" vertical="center" wrapText="1"/>
    </xf>
    <xf numFmtId="1" fontId="38" fillId="7" borderId="0" xfId="0" applyNumberFormat="1" applyFont="1" applyFill="1" applyAlignment="1">
      <alignment horizontal="center" vertical="center"/>
    </xf>
    <xf numFmtId="0" fontId="11" fillId="16" borderId="12" xfId="0" applyFont="1" applyFill="1" applyBorder="1" applyAlignment="1">
      <alignment horizontal="center" vertical="center" wrapText="1"/>
    </xf>
    <xf numFmtId="0" fontId="11" fillId="5" borderId="12" xfId="0" applyFont="1" applyFill="1" applyBorder="1" applyAlignment="1">
      <alignment horizontal="center" vertical="center" wrapText="1"/>
    </xf>
    <xf numFmtId="0" fontId="12" fillId="14" borderId="22" xfId="0" applyFont="1" applyFill="1" applyBorder="1" applyAlignment="1">
      <alignment horizontal="left" vertical="center" wrapText="1" indent="2"/>
    </xf>
    <xf numFmtId="0" fontId="13" fillId="14" borderId="22" xfId="0" applyFont="1" applyFill="1" applyBorder="1" applyAlignment="1">
      <alignment horizontal="center" vertical="center" wrapText="1"/>
    </xf>
    <xf numFmtId="0" fontId="28" fillId="7" borderId="0" xfId="0" applyFont="1" applyFill="1"/>
    <xf numFmtId="1" fontId="28" fillId="7" borderId="0" xfId="0" applyNumberFormat="1" applyFont="1" applyFill="1"/>
    <xf numFmtId="0" fontId="0" fillId="7" borderId="0" xfId="0" applyFill="1"/>
    <xf numFmtId="0" fontId="10" fillId="7" borderId="0" xfId="0" applyFont="1" applyFill="1"/>
    <xf numFmtId="1" fontId="21" fillId="7" borderId="0" xfId="0" applyNumberFormat="1" applyFont="1" applyFill="1" applyAlignment="1">
      <alignment horizontal="center" vertical="center" wrapText="1"/>
    </xf>
    <xf numFmtId="0" fontId="11" fillId="7" borderId="0" xfId="0" applyFont="1" applyFill="1" applyAlignment="1">
      <alignment vertical="center" wrapText="1"/>
    </xf>
    <xf numFmtId="0" fontId="12" fillId="7" borderId="0" xfId="0" applyFont="1" applyFill="1" applyAlignment="1">
      <alignment horizontal="left" vertical="center" wrapText="1" indent="2"/>
    </xf>
    <xf numFmtId="0" fontId="13" fillId="7" borderId="0" xfId="0" applyFont="1" applyFill="1" applyAlignment="1">
      <alignment horizontal="center" vertical="center" wrapText="1"/>
    </xf>
    <xf numFmtId="0" fontId="3" fillId="7" borderId="0" xfId="0" applyFont="1" applyFill="1" applyAlignment="1">
      <alignment horizontal="center" vertical="center" wrapText="1"/>
    </xf>
    <xf numFmtId="0" fontId="16" fillId="7" borderId="0" xfId="0" quotePrefix="1" applyFont="1" applyFill="1" applyAlignment="1" applyProtection="1">
      <alignment horizontal="center" vertical="center" wrapText="1"/>
      <protection locked="0"/>
    </xf>
    <xf numFmtId="0" fontId="31" fillId="7" borderId="0" xfId="0" applyFont="1" applyFill="1" applyAlignment="1">
      <alignment vertical="center" wrapText="1"/>
    </xf>
    <xf numFmtId="0" fontId="14" fillId="7" borderId="0" xfId="0" applyFont="1" applyFill="1" applyAlignment="1">
      <alignment vertical="center" wrapText="1"/>
    </xf>
    <xf numFmtId="0" fontId="1" fillId="7" borderId="0" xfId="0" applyFont="1" applyFill="1" applyAlignment="1">
      <alignment horizontal="center" vertical="center" wrapText="1"/>
    </xf>
    <xf numFmtId="0" fontId="19" fillId="0" borderId="0" xfId="0" applyFont="1" applyAlignment="1">
      <alignment horizontal="left" vertical="center" indent="2"/>
    </xf>
    <xf numFmtId="0" fontId="19" fillId="0" borderId="0" xfId="0" applyFont="1" applyAlignment="1">
      <alignment horizontal="left" vertical="center" indent="1"/>
    </xf>
    <xf numFmtId="0" fontId="19" fillId="0" borderId="0" xfId="0" applyFont="1" applyAlignment="1">
      <alignment vertical="center"/>
    </xf>
    <xf numFmtId="0" fontId="19" fillId="2" borderId="5" xfId="0" applyFont="1" applyFill="1" applyBorder="1" applyAlignment="1">
      <alignment horizontal="left" vertical="center" indent="2"/>
    </xf>
    <xf numFmtId="0" fontId="19" fillId="2" borderId="6" xfId="0" applyFont="1" applyFill="1" applyBorder="1" applyAlignment="1">
      <alignment horizontal="left" vertical="center" indent="1"/>
    </xf>
    <xf numFmtId="0" fontId="19" fillId="2" borderId="6" xfId="0" applyFont="1" applyFill="1" applyBorder="1" applyAlignment="1">
      <alignment vertical="center"/>
    </xf>
    <xf numFmtId="0" fontId="9" fillId="2" borderId="6" xfId="0" applyFont="1" applyFill="1" applyBorder="1"/>
    <xf numFmtId="0" fontId="28" fillId="2" borderId="6" xfId="0" applyFont="1" applyFill="1" applyBorder="1"/>
    <xf numFmtId="1" fontId="41" fillId="2" borderId="4" xfId="0" applyNumberFormat="1" applyFont="1" applyFill="1" applyBorder="1" applyAlignment="1">
      <alignment horizontal="center" vertical="center"/>
    </xf>
    <xf numFmtId="0" fontId="3" fillId="4" borderId="29" xfId="0" applyFont="1" applyFill="1" applyBorder="1" applyAlignment="1">
      <alignment horizontal="center" vertical="center" wrapText="1"/>
    </xf>
    <xf numFmtId="0" fontId="0" fillId="0" borderId="34" xfId="0" applyBorder="1" applyAlignment="1">
      <alignment horizontal="center"/>
    </xf>
    <xf numFmtId="0" fontId="0" fillId="0" borderId="33" xfId="0" applyBorder="1"/>
    <xf numFmtId="0" fontId="3" fillId="4" borderId="1" xfId="0" applyFont="1" applyFill="1" applyBorder="1" applyAlignment="1">
      <alignment horizontal="center" vertical="center" wrapText="1"/>
    </xf>
    <xf numFmtId="0" fontId="0" fillId="0" borderId="33" xfId="0" applyBorder="1" applyAlignment="1">
      <alignment horizontal="center"/>
    </xf>
    <xf numFmtId="0" fontId="12" fillId="15" borderId="25" xfId="0" applyFont="1" applyFill="1" applyBorder="1" applyAlignment="1">
      <alignment horizontal="left" vertical="center" wrapText="1" indent="2"/>
    </xf>
    <xf numFmtId="0" fontId="13" fillId="15" borderId="25" xfId="0" applyFont="1" applyFill="1" applyBorder="1" applyAlignment="1">
      <alignment horizontal="center" vertical="center" wrapText="1"/>
    </xf>
    <xf numFmtId="0" fontId="11" fillId="16" borderId="14" xfId="0" applyFont="1" applyFill="1" applyBorder="1" applyAlignment="1">
      <alignment horizontal="center" vertical="center" wrapText="1"/>
    </xf>
    <xf numFmtId="0" fontId="12" fillId="18" borderId="25" xfId="0" applyFont="1" applyFill="1" applyBorder="1" applyAlignment="1">
      <alignment horizontal="left" vertical="center" wrapText="1" indent="2"/>
    </xf>
    <xf numFmtId="0" fontId="13" fillId="18" borderId="25" xfId="0" applyFont="1" applyFill="1" applyBorder="1" applyAlignment="1">
      <alignment horizontal="center" vertical="center" wrapText="1"/>
    </xf>
    <xf numFmtId="0" fontId="11" fillId="19" borderId="12" xfId="0" applyFont="1" applyFill="1" applyBorder="1" applyAlignment="1">
      <alignment horizontal="center" vertical="center" wrapText="1"/>
    </xf>
    <xf numFmtId="0" fontId="12" fillId="20" borderId="22" xfId="0" applyFont="1" applyFill="1" applyBorder="1" applyAlignment="1">
      <alignment horizontal="left" vertical="center" wrapText="1" indent="2"/>
    </xf>
    <xf numFmtId="0" fontId="13" fillId="20" borderId="22" xfId="0" applyFont="1" applyFill="1" applyBorder="1" applyAlignment="1">
      <alignment horizontal="center" vertical="center" wrapText="1"/>
    </xf>
    <xf numFmtId="0" fontId="14" fillId="13" borderId="12" xfId="0" applyFont="1" applyFill="1" applyBorder="1" applyAlignment="1">
      <alignment horizontal="center" vertical="center" wrapText="1"/>
    </xf>
    <xf numFmtId="0" fontId="1" fillId="9" borderId="22" xfId="0" applyFont="1" applyFill="1" applyBorder="1" applyAlignment="1">
      <alignment horizontal="center" vertical="center" wrapText="1"/>
    </xf>
    <xf numFmtId="0" fontId="15" fillId="15" borderId="25" xfId="0" applyFont="1" applyFill="1" applyBorder="1" applyAlignment="1">
      <alignment horizontal="left" vertical="center" wrapText="1" indent="2"/>
    </xf>
    <xf numFmtId="0" fontId="1" fillId="15" borderId="25" xfId="0" applyFont="1" applyFill="1" applyBorder="1" applyAlignment="1">
      <alignment horizontal="center" vertical="center" wrapText="1"/>
    </xf>
    <xf numFmtId="0" fontId="14" fillId="16" borderId="14" xfId="0" applyFont="1" applyFill="1" applyBorder="1" applyAlignment="1">
      <alignment horizontal="center" vertical="center" wrapText="1"/>
    </xf>
    <xf numFmtId="0" fontId="34" fillId="4" borderId="18" xfId="0" applyFont="1" applyFill="1" applyBorder="1" applyAlignment="1">
      <alignment horizontal="center" vertical="center" wrapText="1"/>
    </xf>
    <xf numFmtId="0" fontId="28" fillId="6" borderId="7" xfId="0" applyFont="1" applyFill="1" applyBorder="1"/>
    <xf numFmtId="0" fontId="28" fillId="6" borderId="0" xfId="0" applyFont="1" applyFill="1"/>
    <xf numFmtId="0" fontId="9" fillId="6" borderId="0" xfId="0" applyFont="1" applyFill="1"/>
    <xf numFmtId="0" fontId="0" fillId="6" borderId="0" xfId="0" applyFill="1"/>
    <xf numFmtId="0" fontId="0" fillId="6" borderId="31" xfId="0" applyFill="1" applyBorder="1"/>
    <xf numFmtId="0" fontId="14" fillId="13" borderId="10" xfId="0" applyFont="1" applyFill="1" applyBorder="1" applyAlignment="1">
      <alignment horizontal="center" vertical="center" wrapText="1"/>
    </xf>
    <xf numFmtId="0" fontId="15" fillId="9" borderId="21" xfId="0" applyFont="1" applyFill="1" applyBorder="1" applyAlignment="1">
      <alignment horizontal="left" vertical="center" wrapText="1" indent="2"/>
    </xf>
    <xf numFmtId="0" fontId="1" fillId="9" borderId="21" xfId="0" applyFont="1" applyFill="1" applyBorder="1" applyAlignment="1">
      <alignment horizontal="center" vertical="center" wrapText="1"/>
    </xf>
    <xf numFmtId="0" fontId="15" fillId="9" borderId="21" xfId="0" applyFont="1" applyFill="1" applyBorder="1" applyAlignment="1">
      <alignment horizontal="left" vertical="center" wrapText="1" indent="1"/>
    </xf>
    <xf numFmtId="0" fontId="13" fillId="9" borderId="21" xfId="0" applyFont="1" applyFill="1" applyBorder="1" applyAlignment="1">
      <alignment horizontal="center" vertical="center" wrapText="1"/>
    </xf>
    <xf numFmtId="0" fontId="33" fillId="3" borderId="11" xfId="0" applyFont="1" applyFill="1" applyBorder="1" applyAlignment="1">
      <alignment horizontal="center" vertical="center" wrapText="1"/>
    </xf>
    <xf numFmtId="0" fontId="33" fillId="3" borderId="27" xfId="0" applyFont="1" applyFill="1" applyBorder="1" applyAlignment="1">
      <alignment horizontal="center" vertical="center" wrapText="1"/>
    </xf>
    <xf numFmtId="0" fontId="13" fillId="0" borderId="25" xfId="0" applyFont="1" applyBorder="1" applyAlignment="1">
      <alignment horizontal="center" vertical="center" wrapText="1"/>
    </xf>
    <xf numFmtId="0" fontId="13" fillId="0" borderId="27" xfId="0" applyFont="1" applyBorder="1" applyAlignment="1">
      <alignment horizontal="center" vertical="center" wrapText="1"/>
    </xf>
    <xf numFmtId="0" fontId="37" fillId="0" borderId="14" xfId="0" applyFont="1" applyBorder="1" applyAlignment="1">
      <alignment horizontal="center" vertical="center" wrapText="1"/>
    </xf>
    <xf numFmtId="0" fontId="37" fillId="0" borderId="27" xfId="0" applyFont="1" applyBorder="1" applyAlignment="1">
      <alignment horizontal="center" vertical="center" wrapText="1"/>
    </xf>
    <xf numFmtId="0" fontId="0" fillId="0" borderId="9" xfId="0" applyBorder="1" applyAlignment="1">
      <alignment horizontal="center"/>
    </xf>
    <xf numFmtId="0" fontId="0" fillId="0" borderId="0" xfId="0" applyAlignment="1">
      <alignment horizontal="center"/>
    </xf>
    <xf numFmtId="0" fontId="0" fillId="0" borderId="15" xfId="0" applyBorder="1" applyAlignment="1">
      <alignment horizontal="center"/>
    </xf>
    <xf numFmtId="0" fontId="37" fillId="0" borderId="23" xfId="0" applyFont="1" applyBorder="1" applyAlignment="1">
      <alignment horizontal="center" vertical="center" wrapText="1"/>
    </xf>
    <xf numFmtId="0" fontId="37" fillId="0" borderId="24" xfId="0" applyFont="1" applyBorder="1" applyAlignment="1">
      <alignment horizontal="center" vertical="center" wrapText="1"/>
    </xf>
    <xf numFmtId="0" fontId="37" fillId="0" borderId="10" xfId="0" applyFont="1" applyBorder="1" applyAlignment="1">
      <alignment horizontal="center" vertical="center" wrapText="1"/>
    </xf>
    <xf numFmtId="0" fontId="37" fillId="0" borderId="11" xfId="0" applyFont="1" applyBorder="1" applyAlignment="1">
      <alignment horizontal="center" vertical="center" wrapText="1"/>
    </xf>
    <xf numFmtId="0" fontId="18" fillId="0" borderId="0" xfId="0" applyFont="1" applyAlignment="1">
      <alignment horizontal="center" vertical="center" wrapText="1"/>
    </xf>
    <xf numFmtId="0" fontId="36" fillId="2" borderId="10" xfId="0" applyFont="1" applyFill="1" applyBorder="1" applyAlignment="1">
      <alignment horizontal="left" vertical="center" wrapText="1" indent="1"/>
    </xf>
    <xf numFmtId="0" fontId="36" fillId="2" borderId="21" xfId="0" applyFont="1" applyFill="1" applyBorder="1" applyAlignment="1">
      <alignment horizontal="left" vertical="center" wrapText="1" indent="1"/>
    </xf>
    <xf numFmtId="0" fontId="36" fillId="2" borderId="35" xfId="0" applyFont="1" applyFill="1" applyBorder="1" applyAlignment="1">
      <alignment horizontal="left" vertical="center" wrapText="1" indent="1"/>
    </xf>
    <xf numFmtId="0" fontId="36" fillId="2" borderId="38" xfId="0" applyFont="1" applyFill="1" applyBorder="1" applyAlignment="1">
      <alignment horizontal="left" vertical="center" wrapText="1" indent="1"/>
    </xf>
    <xf numFmtId="0" fontId="11" fillId="0" borderId="0" xfId="0" applyFont="1" applyAlignment="1">
      <alignment horizontal="center" vertical="center" wrapText="1"/>
    </xf>
    <xf numFmtId="0" fontId="36" fillId="2" borderId="45" xfId="0" applyFont="1" applyFill="1" applyBorder="1" applyAlignment="1">
      <alignment horizontal="left" vertical="center" wrapText="1"/>
    </xf>
    <xf numFmtId="0" fontId="36" fillId="2" borderId="35" xfId="0" applyFont="1" applyFill="1" applyBorder="1" applyAlignment="1">
      <alignment horizontal="left" vertical="center" wrapText="1"/>
    </xf>
    <xf numFmtId="0" fontId="36" fillId="2" borderId="21" xfId="0" applyFont="1" applyFill="1" applyBorder="1" applyAlignment="1">
      <alignment horizontal="left" vertical="center" wrapText="1"/>
    </xf>
    <xf numFmtId="0" fontId="36" fillId="2" borderId="38" xfId="0" applyFont="1" applyFill="1" applyBorder="1" applyAlignment="1">
      <alignment horizontal="left" vertical="center" wrapText="1"/>
    </xf>
    <xf numFmtId="0" fontId="37" fillId="0" borderId="12" xfId="0" applyFont="1" applyBorder="1" applyAlignment="1">
      <alignment horizontal="center" vertical="center" wrapText="1"/>
    </xf>
    <xf numFmtId="0" fontId="37" fillId="0" borderId="13" xfId="0" applyFont="1" applyBorder="1" applyAlignment="1">
      <alignment horizontal="center" vertical="center" wrapText="1"/>
    </xf>
    <xf numFmtId="0" fontId="13" fillId="7" borderId="22" xfId="0" applyFont="1" applyFill="1" applyBorder="1" applyAlignment="1">
      <alignment horizontal="center" vertical="center" wrapText="1"/>
    </xf>
    <xf numFmtId="0" fontId="13" fillId="7" borderId="13" xfId="0" applyFont="1" applyFill="1" applyBorder="1" applyAlignment="1">
      <alignment horizontal="center" vertical="center" wrapText="1"/>
    </xf>
    <xf numFmtId="0" fontId="11" fillId="12" borderId="14" xfId="0" applyFont="1" applyFill="1" applyBorder="1" applyAlignment="1">
      <alignment horizontal="center" vertical="center" wrapText="1"/>
    </xf>
    <xf numFmtId="0" fontId="11" fillId="12" borderId="12" xfId="0" applyFont="1" applyFill="1" applyBorder="1" applyAlignment="1">
      <alignment horizontal="center" vertical="center" wrapText="1"/>
    </xf>
    <xf numFmtId="0" fontId="0" fillId="0" borderId="37" xfId="0" applyBorder="1" applyAlignment="1">
      <alignment horizontal="center"/>
    </xf>
    <xf numFmtId="0" fontId="22" fillId="6" borderId="17" xfId="0" applyFont="1" applyFill="1" applyBorder="1" applyAlignment="1">
      <alignment horizontal="center" vertical="center" wrapText="1"/>
    </xf>
    <xf numFmtId="0" fontId="22" fillId="6" borderId="20" xfId="0" applyFont="1" applyFill="1" applyBorder="1" applyAlignment="1">
      <alignment horizontal="center" vertical="center" wrapText="1"/>
    </xf>
    <xf numFmtId="0" fontId="22" fillId="6" borderId="18" xfId="0" applyFont="1" applyFill="1" applyBorder="1" applyAlignment="1">
      <alignment horizontal="center" vertical="center" wrapText="1"/>
    </xf>
    <xf numFmtId="0" fontId="23" fillId="0" borderId="17" xfId="0" applyFont="1" applyBorder="1" applyAlignment="1">
      <alignment horizontal="center" vertical="center" wrapText="1"/>
    </xf>
    <xf numFmtId="0" fontId="23" fillId="0" borderId="20" xfId="0" applyFont="1" applyBorder="1" applyAlignment="1">
      <alignment horizontal="center" vertical="center" wrapText="1"/>
    </xf>
    <xf numFmtId="0" fontId="23" fillId="0" borderId="18" xfId="0" applyFont="1" applyBorder="1" applyAlignment="1">
      <alignment horizontal="center" vertical="center" wrapText="1"/>
    </xf>
    <xf numFmtId="0" fontId="5" fillId="6" borderId="17" xfId="0" applyFont="1" applyFill="1" applyBorder="1" applyAlignment="1">
      <alignment horizontal="center" vertical="center" wrapText="1"/>
    </xf>
    <xf numFmtId="0" fontId="5" fillId="6" borderId="20" xfId="0" applyFont="1" applyFill="1" applyBorder="1" applyAlignment="1">
      <alignment horizontal="center" vertical="center" wrapText="1"/>
    </xf>
    <xf numFmtId="0" fontId="5" fillId="6" borderId="18" xfId="0" applyFont="1" applyFill="1" applyBorder="1" applyAlignment="1">
      <alignment horizontal="center" vertical="center" wrapText="1"/>
    </xf>
    <xf numFmtId="0" fontId="7" fillId="3" borderId="5" xfId="0" applyFont="1" applyFill="1" applyBorder="1" applyAlignment="1">
      <alignment horizontal="left" vertical="center" indent="5"/>
    </xf>
    <xf numFmtId="0" fontId="7" fillId="3" borderId="6" xfId="0" applyFont="1" applyFill="1" applyBorder="1" applyAlignment="1">
      <alignment horizontal="left" vertical="center" indent="5"/>
    </xf>
    <xf numFmtId="0" fontId="7" fillId="3" borderId="4" xfId="0" applyFont="1" applyFill="1" applyBorder="1" applyAlignment="1">
      <alignment horizontal="left" vertical="center" indent="5"/>
    </xf>
    <xf numFmtId="0" fontId="8" fillId="0" borderId="8" xfId="0" applyFont="1" applyBorder="1" applyAlignment="1">
      <alignment horizontal="center" vertical="center" wrapText="1"/>
    </xf>
    <xf numFmtId="0" fontId="8" fillId="0" borderId="16" xfId="0" applyFont="1" applyBorder="1" applyAlignment="1">
      <alignment horizontal="center" vertical="center" wrapText="1"/>
    </xf>
    <xf numFmtId="1" fontId="4" fillId="0" borderId="2" xfId="0" applyNumberFormat="1" applyFont="1" applyBorder="1" applyAlignment="1">
      <alignment horizontal="center" vertical="center"/>
    </xf>
    <xf numFmtId="1" fontId="4" fillId="0" borderId="3" xfId="0" applyNumberFormat="1" applyFont="1" applyBorder="1" applyAlignment="1">
      <alignment horizontal="center" vertical="center"/>
    </xf>
    <xf numFmtId="0" fontId="1" fillId="7" borderId="0" xfId="0" applyFont="1" applyFill="1" applyAlignment="1">
      <alignment horizontal="center" vertical="center" wrapText="1"/>
    </xf>
    <xf numFmtId="0" fontId="36" fillId="2" borderId="10" xfId="0" applyFont="1" applyFill="1" applyBorder="1" applyAlignment="1">
      <alignment horizontal="left" vertical="center" wrapText="1"/>
    </xf>
    <xf numFmtId="0" fontId="36" fillId="2" borderId="8" xfId="0" applyFont="1" applyFill="1" applyBorder="1" applyAlignment="1">
      <alignment horizontal="left" vertical="center" wrapText="1" indent="1"/>
    </xf>
    <xf numFmtId="0" fontId="36" fillId="2" borderId="9" xfId="0" applyFont="1" applyFill="1" applyBorder="1" applyAlignment="1">
      <alignment horizontal="left" vertical="center" wrapText="1" indent="1"/>
    </xf>
    <xf numFmtId="0" fontId="36" fillId="2" borderId="16" xfId="0" applyFont="1" applyFill="1" applyBorder="1" applyAlignment="1">
      <alignment horizontal="left" vertical="center" wrapText="1" indent="1"/>
    </xf>
    <xf numFmtId="0" fontId="29" fillId="3" borderId="2" xfId="0" applyFont="1" applyFill="1" applyBorder="1" applyAlignment="1">
      <alignment horizontal="center" vertical="center" wrapText="1"/>
    </xf>
    <xf numFmtId="0" fontId="29" fillId="3" borderId="19" xfId="0" applyFont="1" applyFill="1" applyBorder="1" applyAlignment="1">
      <alignment horizontal="center" vertical="center" wrapText="1"/>
    </xf>
    <xf numFmtId="0" fontId="29" fillId="3" borderId="3" xfId="0" applyFont="1" applyFill="1" applyBorder="1" applyAlignment="1">
      <alignment horizontal="center" vertical="center" wrapText="1"/>
    </xf>
    <xf numFmtId="0" fontId="5" fillId="0" borderId="0" xfId="0" applyFont="1" applyAlignment="1">
      <alignment horizontal="center" vertical="center" wrapText="1"/>
    </xf>
    <xf numFmtId="0" fontId="27" fillId="3" borderId="8" xfId="0" applyFont="1" applyFill="1" applyBorder="1" applyAlignment="1">
      <alignment horizontal="left" vertical="center" indent="5"/>
    </xf>
    <xf numFmtId="0" fontId="27" fillId="3" borderId="9" xfId="0" applyFont="1" applyFill="1" applyBorder="1" applyAlignment="1">
      <alignment horizontal="left" vertical="center" indent="5"/>
    </xf>
    <xf numFmtId="0" fontId="27" fillId="3" borderId="16" xfId="0" applyFont="1" applyFill="1" applyBorder="1" applyAlignment="1">
      <alignment horizontal="left" vertical="center" indent="5"/>
    </xf>
    <xf numFmtId="0" fontId="27" fillId="3" borderId="7" xfId="0" applyFont="1" applyFill="1" applyBorder="1" applyAlignment="1">
      <alignment horizontal="left" vertical="center" indent="5"/>
    </xf>
    <xf numFmtId="0" fontId="27" fillId="3" borderId="0" xfId="0" applyFont="1" applyFill="1" applyAlignment="1">
      <alignment horizontal="left" vertical="center" indent="5"/>
    </xf>
    <xf numFmtId="0" fontId="27" fillId="3" borderId="31" xfId="0" applyFont="1" applyFill="1" applyBorder="1" applyAlignment="1">
      <alignment horizontal="left" vertical="center" indent="5"/>
    </xf>
    <xf numFmtId="0" fontId="36" fillId="2" borderId="5" xfId="0" applyFont="1" applyFill="1" applyBorder="1" applyAlignment="1">
      <alignment horizontal="left" vertical="center" wrapText="1" indent="1"/>
    </xf>
    <xf numFmtId="0" fontId="36" fillId="2" borderId="6" xfId="0" applyFont="1" applyFill="1" applyBorder="1" applyAlignment="1">
      <alignment horizontal="left" vertical="center" wrapText="1" indent="1"/>
    </xf>
    <xf numFmtId="0" fontId="36" fillId="2" borderId="4" xfId="0" applyFont="1" applyFill="1" applyBorder="1" applyAlignment="1">
      <alignment horizontal="left" vertical="center" wrapText="1" indent="1"/>
    </xf>
    <xf numFmtId="0" fontId="24" fillId="0" borderId="17" xfId="0" applyFont="1" applyBorder="1" applyAlignment="1">
      <alignment horizontal="center" vertical="center" wrapText="1"/>
    </xf>
    <xf numFmtId="0" fontId="24" fillId="0" borderId="20" xfId="0" applyFont="1" applyBorder="1" applyAlignment="1">
      <alignment horizontal="center" vertical="center" wrapText="1"/>
    </xf>
    <xf numFmtId="0" fontId="24" fillId="0" borderId="18" xfId="0" applyFont="1" applyBorder="1" applyAlignment="1">
      <alignment horizontal="center" vertical="center" wrapText="1"/>
    </xf>
    <xf numFmtId="0" fontId="13" fillId="7" borderId="0" xfId="0" applyFont="1" applyFill="1" applyAlignment="1">
      <alignment horizontal="center" vertical="center" wrapText="1"/>
    </xf>
    <xf numFmtId="0" fontId="13" fillId="7" borderId="29" xfId="0" applyFont="1" applyFill="1" applyBorder="1" applyAlignment="1">
      <alignment horizontal="center" vertical="center" wrapText="1"/>
    </xf>
    <xf numFmtId="0" fontId="13" fillId="0" borderId="22" xfId="0" applyFont="1" applyBorder="1" applyAlignment="1">
      <alignment horizontal="center" vertical="center" wrapText="1"/>
    </xf>
    <xf numFmtId="0" fontId="13" fillId="0" borderId="29" xfId="0" applyFont="1" applyBorder="1" applyAlignment="1">
      <alignment horizontal="center" vertical="center" wrapText="1"/>
    </xf>
    <xf numFmtId="0" fontId="0" fillId="0" borderId="33" xfId="0" applyBorder="1" applyAlignment="1">
      <alignment horizontal="center"/>
    </xf>
    <xf numFmtId="0" fontId="13" fillId="7" borderId="33" xfId="0" applyFont="1" applyFill="1" applyBorder="1" applyAlignment="1">
      <alignment horizontal="center" vertical="center" wrapText="1"/>
    </xf>
    <xf numFmtId="0" fontId="13" fillId="7" borderId="32" xfId="0" applyFont="1" applyFill="1" applyBorder="1" applyAlignment="1">
      <alignment horizontal="center" vertical="center" wrapText="1"/>
    </xf>
    <xf numFmtId="0" fontId="37" fillId="0" borderId="5" xfId="0" applyFont="1" applyBorder="1" applyAlignment="1">
      <alignment horizontal="center" vertical="center" wrapText="1"/>
    </xf>
    <xf numFmtId="0" fontId="37" fillId="0" borderId="4" xfId="0" applyFont="1" applyBorder="1" applyAlignment="1">
      <alignment horizontal="center" vertical="center" wrapText="1"/>
    </xf>
    <xf numFmtId="0" fontId="13" fillId="7" borderId="25" xfId="0" applyFont="1" applyFill="1" applyBorder="1" applyAlignment="1">
      <alignment horizontal="center" vertical="center" wrapText="1"/>
    </xf>
    <xf numFmtId="0" fontId="13" fillId="7" borderId="28" xfId="0" applyFont="1" applyFill="1" applyBorder="1" applyAlignment="1">
      <alignment horizontal="center" vertical="center" wrapText="1"/>
    </xf>
    <xf numFmtId="0" fontId="13" fillId="7" borderId="39" xfId="0" applyFont="1" applyFill="1" applyBorder="1" applyAlignment="1">
      <alignment horizontal="center" vertical="center" wrapText="1"/>
    </xf>
    <xf numFmtId="0" fontId="13" fillId="7" borderId="30" xfId="0" applyFont="1" applyFill="1" applyBorder="1" applyAlignment="1">
      <alignment horizontal="center" vertical="center" wrapText="1"/>
    </xf>
    <xf numFmtId="0" fontId="13" fillId="7" borderId="41" xfId="0" applyFont="1" applyFill="1" applyBorder="1" applyAlignment="1">
      <alignment horizontal="center" vertical="center" wrapText="1"/>
    </xf>
    <xf numFmtId="0" fontId="13" fillId="7" borderId="42" xfId="0" applyFont="1" applyFill="1" applyBorder="1" applyAlignment="1">
      <alignment horizontal="center" vertical="center" wrapText="1"/>
    </xf>
    <xf numFmtId="0" fontId="13" fillId="7" borderId="31" xfId="0" applyFont="1" applyFill="1" applyBorder="1" applyAlignment="1">
      <alignment horizontal="center" vertical="center" wrapText="1"/>
    </xf>
    <xf numFmtId="0" fontId="13" fillId="7" borderId="43" xfId="0" applyFont="1" applyFill="1" applyBorder="1" applyAlignment="1">
      <alignment horizontal="center" vertical="center" wrapText="1"/>
    </xf>
    <xf numFmtId="0" fontId="13" fillId="7" borderId="15" xfId="0" applyFont="1" applyFill="1" applyBorder="1" applyAlignment="1">
      <alignment horizontal="center" vertical="center" wrapText="1"/>
    </xf>
    <xf numFmtId="0" fontId="13" fillId="7" borderId="44" xfId="0" applyFont="1" applyFill="1" applyBorder="1" applyAlignment="1">
      <alignment horizontal="center" vertical="center" wrapText="1"/>
    </xf>
    <xf numFmtId="0" fontId="0" fillId="0" borderId="40" xfId="0" applyBorder="1" applyAlignment="1">
      <alignment horizontal="center"/>
    </xf>
    <xf numFmtId="0" fontId="0" fillId="0" borderId="19" xfId="0" applyBorder="1" applyAlignment="1">
      <alignment horizontal="center"/>
    </xf>
    <xf numFmtId="0" fontId="0" fillId="0" borderId="3" xfId="0" applyBorder="1" applyAlignment="1">
      <alignment horizontal="center"/>
    </xf>
    <xf numFmtId="0" fontId="42" fillId="6" borderId="8" xfId="0" applyFont="1" applyFill="1" applyBorder="1" applyAlignment="1">
      <alignment horizontal="center" vertical="center" wrapText="1"/>
    </xf>
    <xf numFmtId="0" fontId="42" fillId="6" borderId="9" xfId="0" applyFont="1" applyFill="1" applyBorder="1" applyAlignment="1">
      <alignment horizontal="center" vertical="center" wrapText="1"/>
    </xf>
    <xf numFmtId="0" fontId="42" fillId="6" borderId="16" xfId="0" applyFont="1" applyFill="1" applyBorder="1" applyAlignment="1">
      <alignment horizontal="center" vertical="center" wrapText="1"/>
    </xf>
    <xf numFmtId="0" fontId="43" fillId="6" borderId="7" xfId="0" applyFont="1" applyFill="1" applyBorder="1" applyAlignment="1">
      <alignment horizontal="center" vertical="top" wrapText="1"/>
    </xf>
    <xf numFmtId="0" fontId="43" fillId="6" borderId="0" xfId="0" applyFont="1" applyFill="1" applyAlignment="1">
      <alignment horizontal="center" vertical="top" wrapText="1"/>
    </xf>
    <xf numFmtId="0" fontId="43" fillId="6" borderId="31" xfId="0" applyFont="1" applyFill="1" applyBorder="1" applyAlignment="1">
      <alignment horizontal="center" vertical="top" wrapText="1"/>
    </xf>
    <xf numFmtId="0" fontId="43" fillId="6" borderId="34" xfId="0" applyFont="1" applyFill="1" applyBorder="1" applyAlignment="1">
      <alignment horizontal="center" vertical="top" wrapText="1"/>
    </xf>
    <xf numFmtId="0" fontId="43" fillId="6" borderId="15" xfId="0" applyFont="1" applyFill="1" applyBorder="1" applyAlignment="1">
      <alignment horizontal="center" vertical="top" wrapText="1"/>
    </xf>
    <xf numFmtId="0" fontId="43" fillId="6" borderId="44" xfId="0" applyFont="1" applyFill="1" applyBorder="1" applyAlignment="1">
      <alignment horizontal="center" vertical="top" wrapText="1"/>
    </xf>
    <xf numFmtId="0" fontId="17" fillId="0" borderId="36" xfId="0" applyFont="1" applyBorder="1" applyAlignment="1">
      <alignment horizontal="center" vertical="center" wrapText="1"/>
    </xf>
    <xf numFmtId="0" fontId="17" fillId="0" borderId="37" xfId="0" applyFont="1" applyBorder="1" applyAlignment="1">
      <alignment horizontal="center" vertical="center" wrapText="1"/>
    </xf>
    <xf numFmtId="0" fontId="17" fillId="0" borderId="33" xfId="0" applyFont="1" applyBorder="1" applyAlignment="1">
      <alignment horizontal="center" vertical="center" wrapText="1"/>
    </xf>
    <xf numFmtId="0" fontId="13" fillId="7" borderId="21" xfId="0" applyFont="1" applyFill="1" applyBorder="1" applyAlignment="1">
      <alignment horizontal="center" vertical="center" wrapText="1"/>
    </xf>
    <xf numFmtId="0" fontId="13" fillId="7" borderId="26" xfId="0" applyFont="1" applyFill="1" applyBorder="1" applyAlignment="1">
      <alignment horizontal="center" vertical="center" wrapText="1"/>
    </xf>
    <xf numFmtId="0" fontId="40" fillId="17" borderId="5" xfId="0" applyFont="1" applyFill="1" applyBorder="1" applyAlignment="1">
      <alignment horizontal="left" vertical="center" wrapText="1" indent="2"/>
    </xf>
    <xf numFmtId="0" fontId="40" fillId="17" borderId="6" xfId="0" applyFont="1" applyFill="1" applyBorder="1" applyAlignment="1">
      <alignment horizontal="left" vertical="center" wrapText="1" indent="2"/>
    </xf>
    <xf numFmtId="0" fontId="40" fillId="17" borderId="4" xfId="0" applyFont="1" applyFill="1" applyBorder="1" applyAlignment="1">
      <alignment horizontal="left" vertical="center" wrapText="1" indent="2"/>
    </xf>
    <xf numFmtId="0" fontId="23" fillId="3" borderId="17" xfId="0" applyFont="1" applyFill="1" applyBorder="1" applyAlignment="1">
      <alignment horizontal="center" vertical="center" wrapText="1"/>
    </xf>
    <xf numFmtId="0" fontId="23" fillId="3" borderId="20" xfId="0" applyFont="1" applyFill="1" applyBorder="1" applyAlignment="1">
      <alignment horizontal="center" vertical="center" wrapText="1"/>
    </xf>
    <xf numFmtId="0" fontId="23" fillId="3" borderId="18" xfId="0" applyFont="1" applyFill="1" applyBorder="1" applyAlignment="1">
      <alignment horizontal="center" vertical="center" wrapText="1"/>
    </xf>
    <xf numFmtId="0" fontId="26" fillId="3" borderId="5" xfId="0" applyFont="1" applyFill="1" applyBorder="1" applyAlignment="1">
      <alignment horizontal="center" vertical="center"/>
    </xf>
    <xf numFmtId="0" fontId="26" fillId="3" borderId="4" xfId="0" applyFont="1" applyFill="1" applyBorder="1" applyAlignment="1">
      <alignment horizontal="center" vertical="center"/>
    </xf>
    <xf numFmtId="0" fontId="35" fillId="0" borderId="2" xfId="0" applyFont="1" applyBorder="1" applyAlignment="1">
      <alignment horizontal="center" vertical="center" wrapText="1"/>
    </xf>
    <xf numFmtId="0" fontId="35" fillId="0" borderId="19" xfId="0" applyFont="1" applyBorder="1" applyAlignment="1">
      <alignment horizontal="center" vertical="center" wrapText="1"/>
    </xf>
    <xf numFmtId="0" fontId="35" fillId="0" borderId="3" xfId="0" applyFont="1" applyBorder="1" applyAlignment="1">
      <alignment horizontal="center" vertical="center" wrapText="1"/>
    </xf>
    <xf numFmtId="0" fontId="7" fillId="3" borderId="5" xfId="0" applyFont="1" applyFill="1" applyBorder="1" applyAlignment="1" applyProtection="1">
      <alignment horizontal="left" vertical="center" indent="5"/>
      <protection locked="0"/>
    </xf>
    <xf numFmtId="0" fontId="7" fillId="3" borderId="4" xfId="0" applyFont="1" applyFill="1" applyBorder="1" applyAlignment="1" applyProtection="1">
      <alignment horizontal="left" vertical="center" indent="5"/>
      <protection locked="0"/>
    </xf>
    <xf numFmtId="0" fontId="11" fillId="12" borderId="10" xfId="0" applyFont="1" applyFill="1" applyBorder="1" applyAlignment="1">
      <alignment horizontal="center" vertical="center" wrapText="1"/>
    </xf>
  </cellXfs>
  <cellStyles count="1">
    <cellStyle name="Normal" xfId="0" builtinId="0"/>
  </cellStyles>
  <dxfs count="36">
    <dxf>
      <font>
        <color theme="0"/>
      </font>
      <fill>
        <patternFill>
          <bgColor rgb="FF006400"/>
        </patternFill>
      </fill>
    </dxf>
    <dxf>
      <font>
        <b/>
        <i val="0"/>
      </font>
      <fill>
        <patternFill>
          <bgColor rgb="FF45F562"/>
        </patternFill>
      </fill>
    </dxf>
    <dxf>
      <font>
        <b/>
        <i val="0"/>
      </font>
      <fill>
        <patternFill>
          <bgColor rgb="FF63CB39"/>
        </patternFill>
      </fill>
    </dxf>
    <dxf>
      <font>
        <b/>
        <i val="0"/>
        <color theme="0"/>
      </font>
      <fill>
        <patternFill>
          <bgColor rgb="FF469729"/>
        </patternFill>
      </fill>
    </dxf>
    <dxf>
      <font>
        <b/>
        <i val="0"/>
        <color theme="0"/>
      </font>
      <fill>
        <patternFill>
          <bgColor rgb="FF006400"/>
        </patternFill>
      </fill>
    </dxf>
    <dxf>
      <font>
        <b/>
        <i val="0"/>
      </font>
      <fill>
        <patternFill>
          <bgColor rgb="FFE6AF00"/>
        </patternFill>
      </fill>
    </dxf>
    <dxf>
      <font>
        <b/>
        <i val="0"/>
      </font>
      <fill>
        <patternFill>
          <bgColor rgb="FFFFCF37"/>
        </patternFill>
      </fill>
    </dxf>
    <dxf>
      <font>
        <b/>
        <i val="0"/>
      </font>
      <fill>
        <patternFill>
          <bgColor rgb="FFFFB9B9"/>
        </patternFill>
      </fill>
    </dxf>
    <dxf>
      <font>
        <b/>
        <i val="0"/>
        <color theme="0"/>
      </font>
      <fill>
        <patternFill>
          <bgColor rgb="FFFF0000"/>
        </patternFill>
      </fill>
    </dxf>
    <dxf>
      <font>
        <b/>
        <i val="0"/>
        <strike val="0"/>
        <color theme="0"/>
      </font>
      <fill>
        <patternFill>
          <bgColor rgb="FFFF0000"/>
        </patternFill>
      </fill>
    </dxf>
    <dxf>
      <font>
        <color theme="0"/>
      </font>
      <fill>
        <patternFill>
          <bgColor rgb="FF00B050"/>
        </patternFill>
      </fill>
    </dxf>
    <dxf>
      <font>
        <b/>
        <i val="0"/>
        <color theme="0"/>
      </font>
      <fill>
        <patternFill>
          <bgColor rgb="FFFF0000"/>
        </patternFill>
      </fill>
    </dxf>
    <dxf>
      <font>
        <b/>
        <i val="0"/>
        <color theme="0"/>
      </font>
      <fill>
        <patternFill>
          <bgColor rgb="FF00B050"/>
        </patternFill>
      </fill>
    </dxf>
    <dxf>
      <font>
        <b/>
        <i val="0"/>
      </font>
      <fill>
        <patternFill>
          <bgColor rgb="FF92D050"/>
        </patternFill>
      </fill>
    </dxf>
    <dxf>
      <font>
        <b/>
        <i val="0"/>
      </font>
      <fill>
        <patternFill>
          <bgColor rgb="FFFFC000"/>
        </patternFill>
      </fill>
    </dxf>
    <dxf>
      <font>
        <b/>
        <i val="0"/>
      </font>
      <fill>
        <patternFill>
          <bgColor rgb="FFFF9966"/>
        </patternFill>
      </fill>
    </dxf>
    <dxf>
      <font>
        <b/>
        <i val="0"/>
        <color theme="0"/>
      </font>
      <fill>
        <patternFill>
          <bgColor rgb="FFFF0000"/>
        </patternFill>
      </fill>
    </dxf>
    <dxf>
      <font>
        <b/>
        <i val="0"/>
      </font>
      <fill>
        <patternFill>
          <bgColor rgb="FFFFC000"/>
        </patternFill>
      </fill>
    </dxf>
    <dxf>
      <font>
        <b/>
        <i val="0"/>
      </font>
      <fill>
        <patternFill>
          <bgColor rgb="FF92D050"/>
        </patternFill>
      </fill>
    </dxf>
    <dxf>
      <font>
        <b/>
        <i val="0"/>
        <color theme="0"/>
      </font>
      <fill>
        <patternFill>
          <bgColor rgb="FF00B050"/>
        </patternFill>
      </fill>
    </dxf>
    <dxf>
      <font>
        <b/>
        <i val="0"/>
      </font>
      <fill>
        <patternFill>
          <bgColor rgb="FFFFC000"/>
        </patternFill>
      </fill>
    </dxf>
    <dxf>
      <font>
        <b/>
        <i val="0"/>
      </font>
      <fill>
        <patternFill>
          <bgColor rgb="FF92D050"/>
        </patternFill>
      </fill>
    </dxf>
    <dxf>
      <font>
        <b/>
        <i val="0"/>
        <color theme="0"/>
      </font>
      <fill>
        <patternFill>
          <bgColor rgb="FF00B050"/>
        </patternFill>
      </fill>
    </dxf>
    <dxf>
      <font>
        <b/>
        <i val="0"/>
        <color theme="0"/>
      </font>
      <fill>
        <patternFill>
          <bgColor rgb="FFFF0000"/>
        </patternFill>
      </fill>
    </dxf>
    <dxf>
      <font>
        <b/>
        <i val="0"/>
        <color theme="0"/>
      </font>
      <fill>
        <patternFill>
          <bgColor rgb="FF00B050"/>
        </patternFill>
      </fill>
    </dxf>
    <dxf>
      <font>
        <b/>
        <i val="0"/>
        <color theme="1"/>
      </font>
      <fill>
        <patternFill>
          <bgColor rgb="FF92D050"/>
        </patternFill>
      </fill>
    </dxf>
    <dxf>
      <font>
        <b/>
        <i val="0"/>
      </font>
      <fill>
        <patternFill>
          <bgColor rgb="FFFFC000"/>
        </patternFill>
      </fill>
    </dxf>
    <dxf>
      <font>
        <b/>
        <i val="0"/>
        <color theme="0"/>
      </font>
      <fill>
        <patternFill>
          <bgColor rgb="FFFF0000"/>
        </patternFill>
      </fill>
    </dxf>
    <dxf>
      <font>
        <b/>
        <i val="0"/>
      </font>
      <fill>
        <patternFill>
          <bgColor rgb="FF92D050"/>
        </patternFill>
      </fill>
    </dxf>
    <dxf>
      <font>
        <b/>
        <i val="0"/>
        <color theme="0"/>
      </font>
      <fill>
        <patternFill>
          <bgColor rgb="FF00B050"/>
        </patternFill>
      </fill>
    </dxf>
    <dxf>
      <font>
        <b/>
        <i val="0"/>
      </font>
      <fill>
        <patternFill>
          <bgColor rgb="FFFFC000"/>
        </patternFill>
      </fill>
    </dxf>
    <dxf>
      <font>
        <b/>
        <i val="0"/>
        <color theme="0"/>
      </font>
      <fill>
        <patternFill>
          <bgColor rgb="FFFF0000"/>
        </patternFill>
      </fill>
    </dxf>
    <dxf>
      <font>
        <b/>
        <i val="0"/>
        <color theme="0"/>
      </font>
      <fill>
        <patternFill>
          <bgColor rgb="FFFF0000"/>
        </patternFill>
      </fill>
    </dxf>
    <dxf>
      <font>
        <b/>
        <i val="0"/>
        <color theme="0"/>
      </font>
      <fill>
        <patternFill>
          <bgColor rgb="FF00B050"/>
        </patternFill>
      </fill>
    </dxf>
    <dxf>
      <font>
        <b/>
        <i val="0"/>
      </font>
      <fill>
        <patternFill>
          <bgColor rgb="FF92D050"/>
        </patternFill>
      </fill>
    </dxf>
    <dxf>
      <font>
        <b/>
        <i val="0"/>
      </font>
      <fill>
        <patternFill>
          <bgColor rgb="FFFFC000"/>
        </patternFill>
      </fill>
    </dxf>
  </dxfs>
  <tableStyles count="0" defaultTableStyle="TableStyleMedium2" defaultPivotStyle="PivotStyleLight16"/>
  <colors>
    <mruColors>
      <color rgb="FFF2CEEF"/>
      <color rgb="FFE49EDD"/>
      <color rgb="FFB5E6A2"/>
      <color rgb="FF8ED973"/>
      <color rgb="FF94DCF8"/>
      <color rgb="FFC0E6F5"/>
      <color rgb="FFFF9966"/>
      <color rgb="FFFFCF37"/>
      <color rgb="FFFFB9B9"/>
      <color rgb="FFFF858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1818E-45E4-4D6F-99C4-ADDC0B5BFD66}">
  <sheetPr>
    <tabColor rgb="FF00B050"/>
  </sheetPr>
  <dimension ref="A1:AD69"/>
  <sheetViews>
    <sheetView tabSelected="1" zoomScale="60" zoomScaleNormal="60" workbookViewId="0">
      <selection activeCell="I23" sqref="I23"/>
    </sheetView>
  </sheetViews>
  <sheetFormatPr defaultColWidth="8.85546875" defaultRowHeight="15" x14ac:dyDescent="0.25"/>
  <cols>
    <col min="1" max="1" width="7.42578125" style="55" customWidth="1"/>
    <col min="2" max="2" width="31" customWidth="1"/>
    <col min="3" max="3" width="114" customWidth="1"/>
    <col min="4" max="4" width="29.140625" customWidth="1"/>
    <col min="5" max="5" width="100.85546875" customWidth="1"/>
    <col min="6" max="6" width="31.140625" customWidth="1"/>
    <col min="7" max="7" width="38.140625" customWidth="1"/>
    <col min="8" max="8" width="32.42578125" customWidth="1"/>
    <col min="9" max="9" width="27.28515625" customWidth="1"/>
    <col min="10" max="10" width="3.7109375" customWidth="1"/>
    <col min="11" max="11" width="33.140625" customWidth="1"/>
    <col min="12" max="12" width="27.42578125" customWidth="1"/>
    <col min="13" max="19" width="9.140625" style="55"/>
    <col min="20" max="20" width="13.42578125" style="55" customWidth="1"/>
    <col min="21" max="30" width="9.140625" style="55"/>
  </cols>
  <sheetData>
    <row r="1" spans="2:20" ht="15.75" thickBot="1" x14ac:dyDescent="0.3">
      <c r="J1" s="3"/>
      <c r="K1" s="53"/>
      <c r="L1" s="53"/>
      <c r="M1" s="53"/>
      <c r="N1" s="53"/>
      <c r="O1" s="53"/>
      <c r="P1" s="53"/>
      <c r="Q1" s="3"/>
      <c r="R1" s="3"/>
    </row>
    <row r="2" spans="2:20" ht="44.1" customHeight="1" thickBot="1" x14ac:dyDescent="0.3">
      <c r="B2" s="69" t="s">
        <v>84</v>
      </c>
      <c r="C2" s="70"/>
      <c r="D2" s="71"/>
      <c r="E2" s="71"/>
      <c r="F2" s="71"/>
      <c r="G2" s="71"/>
      <c r="H2" s="71"/>
      <c r="I2" s="71"/>
      <c r="J2" s="72"/>
      <c r="K2" s="73"/>
      <c r="L2" s="74" t="e">
        <f>AVERAGE(I15:I58)</f>
        <v>#DIV/0!</v>
      </c>
      <c r="M2" s="53"/>
      <c r="N2" s="53"/>
      <c r="O2" s="53"/>
      <c r="P2" s="53"/>
      <c r="Q2" s="3"/>
      <c r="R2" s="3"/>
    </row>
    <row r="3" spans="2:20" ht="9.75" customHeight="1" thickBot="1" x14ac:dyDescent="0.3">
      <c r="B3" s="66"/>
      <c r="C3" s="67"/>
      <c r="D3" s="68"/>
      <c r="E3" s="68"/>
      <c r="F3" s="68"/>
      <c r="G3" s="68"/>
      <c r="H3" s="68"/>
      <c r="I3" s="68"/>
      <c r="J3" s="3"/>
      <c r="K3" s="53"/>
      <c r="L3" s="48"/>
      <c r="M3" s="53"/>
      <c r="N3" s="53"/>
      <c r="O3" s="53"/>
      <c r="P3" s="53"/>
      <c r="Q3" s="3"/>
      <c r="R3" s="3"/>
    </row>
    <row r="4" spans="2:20" ht="137.25" customHeight="1" thickBot="1" x14ac:dyDescent="0.3">
      <c r="B4" s="207" t="s">
        <v>58</v>
      </c>
      <c r="C4" s="208"/>
      <c r="D4" s="208"/>
      <c r="E4" s="208"/>
      <c r="F4" s="208"/>
      <c r="G4" s="208"/>
      <c r="H4" s="208"/>
      <c r="I4" s="208"/>
      <c r="J4" s="208"/>
      <c r="K4" s="208"/>
      <c r="L4" s="209"/>
      <c r="M4" s="53"/>
      <c r="N4" s="193" t="s">
        <v>82</v>
      </c>
      <c r="O4" s="194"/>
      <c r="P4" s="194"/>
      <c r="Q4" s="194"/>
      <c r="R4" s="194"/>
      <c r="S4" s="194"/>
      <c r="T4" s="195"/>
    </row>
    <row r="5" spans="2:20" ht="18.95" customHeight="1" thickBot="1" x14ac:dyDescent="0.3">
      <c r="B5" s="1"/>
      <c r="C5" s="1"/>
      <c r="D5" s="1"/>
      <c r="E5" s="1"/>
      <c r="F5" s="1"/>
      <c r="G5" s="1"/>
      <c r="H5" s="1"/>
      <c r="I5" s="1"/>
      <c r="J5" s="3"/>
      <c r="K5" s="53"/>
      <c r="L5" s="53"/>
      <c r="M5" s="53"/>
      <c r="N5" s="94"/>
      <c r="O5" s="95"/>
      <c r="P5" s="95"/>
      <c r="Q5" s="96"/>
      <c r="R5" s="96"/>
      <c r="S5" s="97"/>
      <c r="T5" s="98"/>
    </row>
    <row r="6" spans="2:20" ht="44.1" customHeight="1" thickBot="1" x14ac:dyDescent="0.3">
      <c r="B6" s="218" t="s">
        <v>1</v>
      </c>
      <c r="C6" s="219"/>
      <c r="D6" s="4"/>
      <c r="E6" s="143" t="s">
        <v>34</v>
      </c>
      <c r="F6" s="144"/>
      <c r="G6" s="145"/>
      <c r="H6" s="1"/>
      <c r="I6" s="5" t="s">
        <v>2</v>
      </c>
      <c r="J6" s="3"/>
      <c r="K6" s="53"/>
      <c r="L6" s="54"/>
      <c r="M6" s="53"/>
      <c r="N6" s="196" t="s">
        <v>83</v>
      </c>
      <c r="O6" s="197"/>
      <c r="P6" s="197"/>
      <c r="Q6" s="197"/>
      <c r="R6" s="197"/>
      <c r="S6" s="197"/>
      <c r="T6" s="198"/>
    </row>
    <row r="7" spans="2:20" ht="14.1" customHeight="1" thickBot="1" x14ac:dyDescent="0.3">
      <c r="J7" s="2"/>
      <c r="K7" s="6"/>
      <c r="L7" s="56"/>
      <c r="M7" s="3"/>
      <c r="N7" s="196"/>
      <c r="O7" s="197"/>
      <c r="P7" s="197"/>
      <c r="Q7" s="197"/>
      <c r="R7" s="197"/>
      <c r="S7" s="197"/>
      <c r="T7" s="198"/>
    </row>
    <row r="8" spans="2:20" ht="56.1" customHeight="1" thickBot="1" x14ac:dyDescent="0.3">
      <c r="B8" s="159" t="s">
        <v>60</v>
      </c>
      <c r="C8" s="160"/>
      <c r="D8" s="160"/>
      <c r="E8" s="160"/>
      <c r="F8" s="160"/>
      <c r="G8" s="161"/>
      <c r="H8" s="146" t="s">
        <v>0</v>
      </c>
      <c r="I8" s="147"/>
      <c r="J8" s="2"/>
      <c r="K8" s="155" t="str">
        <f>IF(COUNTBLANK(I15:I50)-COUNTIF(I18,"")-COUNTIF(I19,"")-COUNTIF(I24,"")-COUNTIF(I25,"")-COUNTIF(I27,"")-COUNTIF(I28,"")-COUNTIF(I32,"")-COUNTIF(I33,"")-COUNTIF(I35,"")-COUNTIF(I36,"")-COUNTIF(I39,"")-COUNTIF(I40,"")-COUNTIF(I45,"")-COUNTIF(I46,"")-COUNTIF(I48,"")-COUNTIF(I49,"")&gt;0,"Missing Grade/s","Marking Complete")</f>
        <v>Missing Grade/s</v>
      </c>
      <c r="L8" s="56"/>
      <c r="M8" s="3"/>
      <c r="N8" s="196"/>
      <c r="O8" s="197"/>
      <c r="P8" s="197"/>
      <c r="Q8" s="197"/>
      <c r="R8" s="197"/>
      <c r="S8" s="197"/>
      <c r="T8" s="198"/>
    </row>
    <row r="9" spans="2:20" ht="56.1" customHeight="1" thickBot="1" x14ac:dyDescent="0.3">
      <c r="B9" s="162"/>
      <c r="C9" s="163"/>
      <c r="D9" s="163"/>
      <c r="E9" s="163"/>
      <c r="F9" s="163"/>
      <c r="G9" s="164"/>
      <c r="H9" s="12" t="s">
        <v>32</v>
      </c>
      <c r="I9" s="12" t="s">
        <v>33</v>
      </c>
      <c r="J9" s="2"/>
      <c r="K9" s="156"/>
      <c r="L9" s="56"/>
      <c r="M9" s="3"/>
      <c r="N9" s="196"/>
      <c r="O9" s="197"/>
      <c r="P9" s="197"/>
      <c r="Q9" s="197"/>
      <c r="R9" s="197"/>
      <c r="S9" s="197"/>
      <c r="T9" s="198"/>
    </row>
    <row r="10" spans="2:20" ht="135.75" customHeight="1" thickBot="1" x14ac:dyDescent="0.3">
      <c r="B10" s="168" t="s">
        <v>3</v>
      </c>
      <c r="C10" s="134" t="s">
        <v>35</v>
      </c>
      <c r="D10" s="137" t="s">
        <v>8</v>
      </c>
      <c r="E10" s="140" t="s">
        <v>47</v>
      </c>
      <c r="F10" s="137" t="s">
        <v>8</v>
      </c>
      <c r="G10" s="210" t="s">
        <v>57</v>
      </c>
      <c r="H10" s="215" t="str" cm="1">
        <f t="array" ref="H10">IF(COUNTIF(H15:H58,"?*")+COUNTIF(H15:H58,"FAIL")+COUNTIF(H15:H58,"PASS")+COUNTIF(H15:H58,"DISTINCTION")=0,"",IF(SUMPRODUCT(--(UPPER(TRIM(H15:H58))="FAIL"))&gt;0,"Fail",IF(AND(SUMPRODUCT(--(UPPER(TRIM(H15:H58))="DISTINCTION"))=5,SUMPRODUCT(--(UPPER(TRIM(H15:H50))="PASS"))=15),"Distinction","Pass")))</f>
        <v/>
      </c>
      <c r="I10" s="148" t="e">
        <f>IF(L2&gt;=93,100,IF(L2&gt;=84,92,IF(L2&gt;=75,83,IF(L2&gt;=69,74,IF(L2&gt;=66,68,IF(L2&gt;=63,65,IF(L2&gt;=59,62,IF(L2&gt;=56,58,IF(L2&gt;=53,55,IF(L2&gt;=49,52,IF(L2&gt;=46,48,IF(L2&gt;=43,45,IF(L2&gt;=40,42,IF(L2&gt;=35,35,IF(L2&gt;=16,20,IF(L2&gt;=14,15,IF(L2&gt;=0,0,"")))))))))))))))))</f>
        <v>#DIV/0!</v>
      </c>
      <c r="J10" s="2"/>
      <c r="K10" s="157"/>
      <c r="L10" s="57" t="str">
        <f>H10</f>
        <v/>
      </c>
      <c r="M10" s="3"/>
      <c r="N10" s="196"/>
      <c r="O10" s="197"/>
      <c r="P10" s="197"/>
      <c r="Q10" s="197"/>
      <c r="R10" s="197"/>
      <c r="S10" s="197"/>
      <c r="T10" s="198"/>
    </row>
    <row r="11" spans="2:20" ht="31.5" customHeight="1" thickBot="1" x14ac:dyDescent="0.3">
      <c r="B11" s="169"/>
      <c r="C11" s="135"/>
      <c r="D11" s="138"/>
      <c r="E11" s="141"/>
      <c r="F11" s="138"/>
      <c r="G11" s="211"/>
      <c r="H11" s="216"/>
      <c r="I11" s="149"/>
      <c r="J11" s="2"/>
      <c r="K11" s="7"/>
      <c r="L11" s="57"/>
      <c r="M11" s="3"/>
      <c r="N11" s="196"/>
      <c r="O11" s="197"/>
      <c r="P11" s="197"/>
      <c r="Q11" s="197"/>
      <c r="R11" s="197"/>
      <c r="S11" s="197"/>
      <c r="T11" s="198"/>
    </row>
    <row r="12" spans="2:20" ht="33" customHeight="1" thickBot="1" x14ac:dyDescent="0.3">
      <c r="B12" s="170"/>
      <c r="C12" s="136"/>
      <c r="D12" s="139"/>
      <c r="E12" s="142"/>
      <c r="F12" s="139"/>
      <c r="G12" s="212"/>
      <c r="H12" s="217"/>
      <c r="I12" s="33" t="s">
        <v>39</v>
      </c>
      <c r="J12" s="2"/>
      <c r="K12" s="213" t="s">
        <v>38</v>
      </c>
      <c r="L12" s="214"/>
      <c r="M12" s="3"/>
      <c r="N12" s="196"/>
      <c r="O12" s="197"/>
      <c r="P12" s="197"/>
      <c r="Q12" s="197"/>
      <c r="R12" s="197"/>
      <c r="S12" s="197"/>
      <c r="T12" s="198"/>
    </row>
    <row r="13" spans="2:20" ht="24" customHeight="1" thickBot="1" x14ac:dyDescent="0.3">
      <c r="B13" s="158"/>
      <c r="C13" s="158"/>
      <c r="D13" s="158"/>
      <c r="E13" s="158"/>
      <c r="F13" s="158"/>
      <c r="G13" s="158"/>
      <c r="H13" s="158"/>
      <c r="I13" s="158"/>
      <c r="J13" s="158"/>
      <c r="K13" s="158"/>
      <c r="L13" s="158"/>
      <c r="M13" s="3"/>
      <c r="N13" s="196"/>
      <c r="O13" s="197"/>
      <c r="P13" s="197"/>
      <c r="Q13" s="197"/>
      <c r="R13" s="197"/>
      <c r="S13" s="197"/>
      <c r="T13" s="198"/>
    </row>
    <row r="14" spans="2:20" ht="50.25" customHeight="1" thickBot="1" x14ac:dyDescent="0.3">
      <c r="B14" s="165" t="s">
        <v>53</v>
      </c>
      <c r="C14" s="166"/>
      <c r="D14" s="166"/>
      <c r="E14" s="166"/>
      <c r="F14" s="166"/>
      <c r="G14" s="166"/>
      <c r="H14" s="166"/>
      <c r="I14" s="166"/>
      <c r="J14" s="166"/>
      <c r="K14" s="166"/>
      <c r="L14" s="167"/>
      <c r="M14" s="3"/>
      <c r="N14" s="196"/>
      <c r="O14" s="197"/>
      <c r="P14" s="197"/>
      <c r="Q14" s="197"/>
      <c r="R14" s="197"/>
      <c r="S14" s="197"/>
      <c r="T14" s="198"/>
    </row>
    <row r="15" spans="2:20" ht="62.25" customHeight="1" thickBot="1" x14ac:dyDescent="0.3">
      <c r="B15" s="220" t="s">
        <v>13</v>
      </c>
      <c r="C15" s="24" t="s">
        <v>20</v>
      </c>
      <c r="D15" s="25" t="s">
        <v>9</v>
      </c>
      <c r="E15" s="205" t="s">
        <v>22</v>
      </c>
      <c r="F15" s="205"/>
      <c r="G15" s="206"/>
      <c r="H15" s="45" t="str">
        <f>IF(I15="","",
IF(OR(I15=0,I15=15,I15=20,I15=35),"Fail",
IF(I15&gt;=42,"Pass","")))</f>
        <v/>
      </c>
      <c r="I15" s="8"/>
      <c r="J15" s="202"/>
      <c r="K15" s="115" t="str">
        <f>IF(I15="","",IF(I15=100,"Extraordinary,flawless",IF(I15=92,"Superb,outstanding",IF(I15=83,"Excellent",IF(I15=74,"Strong,proficient,very good",IF(OR(I15=68,I15=65,I15=62),"Competent,good,effective,capable",IF(OR(I15=58,I15=55,I15=52),"Reasonable,fair,appropriate",IF(OR(I15=48,I15=45,I15=42),"Basic,satisfactory,acceptable",IF(OR(I15=35,I15=20,I15=15,I15=0),"Poor,unsatisfactory,weak","")))))))))</f>
        <v/>
      </c>
      <c r="L15" s="116"/>
      <c r="M15" s="3"/>
      <c r="N15" s="199"/>
      <c r="O15" s="200"/>
      <c r="P15" s="200"/>
      <c r="Q15" s="200"/>
      <c r="R15" s="200"/>
      <c r="S15" s="200"/>
      <c r="T15" s="201"/>
    </row>
    <row r="16" spans="2:20" ht="74.25" customHeight="1" x14ac:dyDescent="0.25">
      <c r="B16" s="131"/>
      <c r="C16" s="16" t="s">
        <v>21</v>
      </c>
      <c r="D16" s="17" t="s">
        <v>10</v>
      </c>
      <c r="E16" s="180"/>
      <c r="F16" s="180"/>
      <c r="G16" s="181"/>
      <c r="H16" s="46" t="str">
        <f>IF(I16="","",
IF(OR(I16=0,I16=15,I16=20,I16=35),"Fail",
IF(I16&gt;=42,"Pass","")))</f>
        <v/>
      </c>
      <c r="I16" s="10"/>
      <c r="J16" s="203"/>
      <c r="K16" s="108" t="str">
        <f t="shared" ref="K16" si="0">IF(I16="","",IF(I16=100,"Extraordinary,flawless",IF(I16=92,"Superb,outstanding",IF(I16=83,"Excellent",IF(I16=74,"Strong,proficient,very good",IF(OR(I16=68,I16=65,I16=62),"Competent,good,effective,capable",IF(OR(I16=58,I16=55,I16=52),"Reasonable,fair,appropriate",IF(OR(I16=48,I16=45,I16=42),"Basic,satisfactory,acceptable",IF(OR(I16=35,I16=20,I16=15,I16=0),"Poor,unsatisfactory,weak","")))))))))</f>
        <v/>
      </c>
      <c r="L16" s="109"/>
      <c r="M16" s="3"/>
      <c r="N16" s="3"/>
      <c r="O16" s="3"/>
      <c r="P16" s="3"/>
      <c r="Q16" s="3"/>
      <c r="R16" s="3"/>
    </row>
    <row r="17" spans="1:18" ht="107.25" customHeight="1" thickBot="1" x14ac:dyDescent="0.3">
      <c r="B17" s="35" t="s">
        <v>43</v>
      </c>
      <c r="C17" s="26" t="s">
        <v>28</v>
      </c>
      <c r="D17" s="27" t="s">
        <v>27</v>
      </c>
      <c r="E17" s="26" t="s">
        <v>29</v>
      </c>
      <c r="F17" s="27" t="s">
        <v>27</v>
      </c>
      <c r="G17" s="31" t="s">
        <v>36</v>
      </c>
      <c r="H17" s="47" t="str">
        <f>IF(I17="","",
IF(OR(I17=0,I17=15,I17=20,I17=35),"Fail",
IF(OR(I17=42,I17=45,I17=48),"Pass",
IF(OR(I17=52,I17=55,I17=58),"Pass",
IF(OR(I17=62,I17=65,I17=68),"Pass",
IF(OR(I17=74,I17=83,I17=92,I17=100),"Distinction",""))))))</f>
        <v/>
      </c>
      <c r="I17" s="9"/>
      <c r="J17" s="204"/>
      <c r="K17" s="127" t="str">
        <f>IF(I17="","",IF(I17=100,"Extraordinary,flawless",IF(I17=92,"Superb,outstanding",IF(I17=83,"Excellent",IF(I17=74,"Strong,proficient,very good",IF(OR(I17=68,I17=65,I17=62),"Competent,good,effective,capable",IF(OR(I17=58,I17=55,I17=52),"Reasonable,fair,appropriate",IF(OR(I17=48,I17=45,I17=42),"Basic,satisfactory,acceptable",IF(OR(I17=35,I17=20,I17=15,I17=0),"Poor,unsatisfactory,weak","")))))))))</f>
        <v/>
      </c>
      <c r="L17" s="128"/>
    </row>
    <row r="18" spans="1:18" ht="23.25" customHeight="1" thickBot="1" x14ac:dyDescent="0.3">
      <c r="A18" s="111"/>
      <c r="B18" s="111"/>
      <c r="C18" s="111"/>
      <c r="D18" s="111"/>
      <c r="E18" s="111"/>
      <c r="F18" s="111"/>
      <c r="G18" s="111"/>
      <c r="H18" s="111"/>
      <c r="I18" s="111"/>
      <c r="J18" s="111"/>
      <c r="K18" s="111"/>
      <c r="L18" s="111"/>
    </row>
    <row r="19" spans="1:18" ht="51.75" customHeight="1" thickBot="1" x14ac:dyDescent="0.3">
      <c r="B19" s="152" t="s">
        <v>52</v>
      </c>
      <c r="C19" s="153"/>
      <c r="D19" s="153"/>
      <c r="E19" s="153"/>
      <c r="F19" s="153"/>
      <c r="G19" s="153"/>
      <c r="H19" s="153"/>
      <c r="I19" s="153"/>
      <c r="J19" s="153"/>
      <c r="K19" s="153"/>
      <c r="L19" s="154"/>
    </row>
    <row r="20" spans="1:18" ht="81.75" customHeight="1" x14ac:dyDescent="0.25">
      <c r="B20" s="34" t="s">
        <v>45</v>
      </c>
      <c r="C20" s="36" t="s">
        <v>4</v>
      </c>
      <c r="D20" s="25" t="s">
        <v>11</v>
      </c>
      <c r="E20" s="29" t="s">
        <v>5</v>
      </c>
      <c r="F20" s="30" t="s">
        <v>46</v>
      </c>
      <c r="G20" s="32" t="s">
        <v>36</v>
      </c>
      <c r="H20" s="45" t="str">
        <f t="shared" ref="H20" si="1">IF(I20="","",
IF(OR(I20=0,I20=15,I20=20,I20=35),"Fail",
IF(OR(I20=42,I20=45,I20=48),"Pass",
IF(OR(I20=52,I20=55,I20=58),"Pass",
IF(OR(I20=62,I20=65,I20=68),"Pass",
IF(OR(I20=74,I20=83,I20=92,I20=100),"Distinction",""))))))</f>
        <v/>
      </c>
      <c r="I20" s="8"/>
      <c r="J20" s="110"/>
      <c r="K20" s="115" t="str">
        <f>IF(I20="","",IF(I20=100,"Extraordinary,flawless",IF(I20=92,"Superb,outstanding",IF(I20=83,"Excellent",IF(I20=74,"Strong,proficient,very good",IF(OR(I20=68,I20=65,I20=62),"Competent,good,effective,capable",IF(OR(I20=58,I20=55,I20=52),"Reasonable,fair,appropriate",IF(OR(I20=48,I20=45,I20=42),"Basic,satisfactory,acceptable",IF(OR(I20=35,I20=20,I20=15,I20=0),"Poor,unsatisfactory,weak","")))))))))</f>
        <v/>
      </c>
      <c r="L20" s="116"/>
    </row>
    <row r="21" spans="1:18" ht="96" customHeight="1" x14ac:dyDescent="0.25">
      <c r="B21" s="131" t="s">
        <v>7</v>
      </c>
      <c r="C21" s="16" t="s">
        <v>14</v>
      </c>
      <c r="D21" s="17" t="s">
        <v>18</v>
      </c>
      <c r="E21" s="182" t="s">
        <v>22</v>
      </c>
      <c r="F21" s="183"/>
      <c r="G21" s="184"/>
      <c r="H21" s="46" t="str">
        <f>IF(I21="","",
IF(OR(I21=0,I21=15,I21=20,I21=35),"Fail",
IF(I21&gt;=42,"Pass","")))</f>
        <v/>
      </c>
      <c r="I21" s="10"/>
      <c r="J21" s="111"/>
      <c r="K21" s="108" t="str">
        <f>IF(I21="","",IF(I21=100,"Extraordinary,flawless",IF(I21=92,"Superb,outstanding",IF(I21=83,"Excellent",IF(I21=74,"Strong,proficient,very good",IF(OR(I21=68,I21=65,I21=62),"Competent,good,effective,capable",IF(OR(I21=58,I21=55,I21=52),"Reasonable,fair,appropriate",IF(OR(I21=48,I21=45,I21=42),"Basic,satisfactory,acceptable",IF(OR(I21=35,I21=20,I21=15,I21=0),"Poor,unsatisfactory,weak","")))))))))</f>
        <v/>
      </c>
      <c r="L21" s="109"/>
    </row>
    <row r="22" spans="1:18" ht="83.45" customHeight="1" x14ac:dyDescent="0.25">
      <c r="B22" s="131"/>
      <c r="C22" s="37" t="s">
        <v>41</v>
      </c>
      <c r="D22" s="17" t="s">
        <v>16</v>
      </c>
      <c r="E22" s="185"/>
      <c r="F22" s="171"/>
      <c r="G22" s="186"/>
      <c r="H22" s="46" t="str">
        <f t="shared" ref="H22:H23" si="2">IF(I22="","",
IF(OR(I22=0,I22=15,I22=20,I22=35),"Fail",
IF(I22&gt;=42,"Pass","")))</f>
        <v/>
      </c>
      <c r="I22" s="10"/>
      <c r="J22" s="111"/>
      <c r="K22" s="108" t="str">
        <f t="shared" ref="K22" si="3">IF(I22="","",IF(I22=100,"Extraordinary,flawless",IF(I22=92,"Superb,outstanding",IF(I22=83,"Excellent",IF(I22=74,"Strong,proficient,very good",IF(OR(I22=68,I22=65,I22=62),"Competent,good,effective,capable",IF(OR(I22=58,I22=55,I22=52),"Reasonable,fair,appropriate",IF(OR(I22=48,I22=45,I22=42),"Basic,satisfactory,acceptable",IF(OR(I22=35,I22=20,I22=15,I22=0),"Poor,unsatisfactory,weak","")))))))))</f>
        <v/>
      </c>
      <c r="L22" s="109"/>
      <c r="M22" s="3"/>
      <c r="N22" s="3"/>
      <c r="O22" s="3"/>
      <c r="P22" s="3"/>
      <c r="R22" s="3"/>
    </row>
    <row r="23" spans="1:18" ht="96.75" customHeight="1" thickBot="1" x14ac:dyDescent="0.3">
      <c r="B23" s="35" t="s">
        <v>61</v>
      </c>
      <c r="C23" s="26" t="s">
        <v>62</v>
      </c>
      <c r="D23" s="27" t="s">
        <v>63</v>
      </c>
      <c r="E23" s="187"/>
      <c r="F23" s="188"/>
      <c r="G23" s="189"/>
      <c r="H23" s="46" t="str">
        <f t="shared" si="2"/>
        <v/>
      </c>
      <c r="I23" s="9"/>
      <c r="J23" s="112"/>
      <c r="K23" s="127" t="str">
        <f>IF(I23="","",IF(I23=100,"Extraordinary,flawless",IF(I23=92,"Superb,outstanding",IF(I23=83,"Excellent",IF(I23=74,"Strong,proficient,very good",IF(OR(I23=68,I23=65,I23=62),"Competent,good,effective,capable",IF(OR(I23=58,I23=55,I23=52),"Reasonable,fair,appropriate",IF(OR(I23=48,I23=45,I23=42),"Basic,satisfactory,acceptable",IF(OR(I23=35,I23=20,I23=15,I23=0),"Poor,unsatisfactory,weak","")))))))))</f>
        <v/>
      </c>
      <c r="L23" s="128"/>
    </row>
    <row r="24" spans="1:18" ht="23.25" customHeight="1" thickBot="1" x14ac:dyDescent="0.3">
      <c r="A24" s="111"/>
      <c r="B24" s="111"/>
      <c r="C24" s="111"/>
      <c r="D24" s="111"/>
      <c r="E24" s="111"/>
      <c r="F24" s="111"/>
      <c r="G24" s="111"/>
      <c r="H24" s="111"/>
      <c r="I24" s="111"/>
      <c r="J24" s="111"/>
      <c r="K24" s="111"/>
      <c r="L24" s="111"/>
    </row>
    <row r="25" spans="1:18" ht="51" customHeight="1" thickBot="1" x14ac:dyDescent="0.3">
      <c r="B25" s="152" t="s">
        <v>51</v>
      </c>
      <c r="C25" s="153"/>
      <c r="D25" s="153"/>
      <c r="E25" s="153"/>
      <c r="F25" s="153"/>
      <c r="G25" s="153"/>
      <c r="H25" s="153"/>
      <c r="I25" s="153"/>
      <c r="J25" s="153"/>
      <c r="K25" s="153"/>
      <c r="L25" s="154"/>
    </row>
    <row r="26" spans="1:18" ht="80.25" customHeight="1" thickBot="1" x14ac:dyDescent="0.3">
      <c r="B26" s="35" t="s">
        <v>61</v>
      </c>
      <c r="C26" s="26" t="s">
        <v>64</v>
      </c>
      <c r="D26" s="27" t="s">
        <v>65</v>
      </c>
      <c r="E26" s="172" t="s">
        <v>22</v>
      </c>
      <c r="F26" s="176"/>
      <c r="G26" s="177"/>
      <c r="H26" s="47" t="str">
        <f>IF(I26="","",
IF(OR(I26=0,I26=15,I26=20,I26=35),"Fail",
IF(I26&gt;=42,"Pass","")))</f>
        <v/>
      </c>
      <c r="I26" s="9"/>
      <c r="J26" s="76"/>
      <c r="K26" s="178" t="str">
        <f>IF(I26="","",IF(I26=100,"Extraordinary,flawless",IF(I26=92,"Superb,outstanding",IF(I26=83,"Excellent",IF(I26=74,"Strong,proficient,very good",IF(OR(I26=68,I26=65,I26=62),"Competent,good,effective,capable",IF(OR(I26=58,I26=55,I26=52),"Reasonable,fair,appropriate",IF(OR(I26=48,I26=45,I26=42),"Basic,satisfactory,acceptable",IF(OR(I26=35,I26=20,I26=15,I26=0),"Poor,unsatisfactory,weak","")))))))))</f>
        <v/>
      </c>
      <c r="L26" s="179"/>
    </row>
    <row r="27" spans="1:18" ht="23.25" customHeight="1" thickBot="1" x14ac:dyDescent="0.3">
      <c r="B27" s="122"/>
      <c r="C27" s="122"/>
      <c r="D27" s="122"/>
      <c r="E27" s="122"/>
      <c r="F27" s="122"/>
      <c r="G27" s="122"/>
      <c r="H27" s="122"/>
      <c r="I27" s="122"/>
      <c r="J27" s="122"/>
      <c r="K27" s="122"/>
      <c r="L27" s="122"/>
    </row>
    <row r="28" spans="1:18" ht="51" customHeight="1" thickBot="1" x14ac:dyDescent="0.3">
      <c r="B28" s="118" t="s">
        <v>50</v>
      </c>
      <c r="C28" s="119"/>
      <c r="D28" s="119"/>
      <c r="E28" s="119"/>
      <c r="F28" s="119"/>
      <c r="G28" s="119"/>
      <c r="H28" s="120"/>
      <c r="I28" s="120"/>
      <c r="J28" s="119"/>
      <c r="K28" s="120"/>
      <c r="L28" s="121"/>
    </row>
    <row r="29" spans="1:18" ht="96" customHeight="1" thickBot="1" x14ac:dyDescent="0.3">
      <c r="B29" s="82" t="s">
        <v>68</v>
      </c>
      <c r="C29" s="80" t="s">
        <v>66</v>
      </c>
      <c r="D29" s="81" t="s">
        <v>67</v>
      </c>
      <c r="E29" s="180" t="s">
        <v>22</v>
      </c>
      <c r="F29" s="180"/>
      <c r="G29" s="181"/>
      <c r="H29" s="45" t="str">
        <f>IF(I29="","",
IF(OR(I29=0,I29=15,I29=20,I29=35),"Fail",
IF(I29&gt;=42,"Pass","")))</f>
        <v/>
      </c>
      <c r="I29" s="8"/>
      <c r="J29" s="190"/>
      <c r="K29" s="115" t="str">
        <f t="shared" ref="K29:K30" si="4">IF(I29="","",IF(I29=100,"Extraordinary,flawless",IF(I29=92,"Superb,outstanding",IF(I29=83,"Excellent",IF(I29=74,"Strong,proficient,very good",IF(OR(I29=68,I29=65,I29=62),"Competent,good,effective,capable",IF(OR(I29=58,I29=55,I29=52),"Reasonable,fair,appropriate",IF(OR(I29=48,I29=45,I29=42),"Basic,satisfactory,acceptable",IF(OR(I29=35,I29=20,I29=15,I29=0),"Poor,unsatisfactory,weak","")))))))))</f>
        <v/>
      </c>
      <c r="L29" s="116"/>
    </row>
    <row r="30" spans="1:18" ht="96" customHeight="1" x14ac:dyDescent="0.25">
      <c r="B30" s="92" t="s">
        <v>68</v>
      </c>
      <c r="C30" s="90" t="s">
        <v>69</v>
      </c>
      <c r="D30" s="91" t="s">
        <v>70</v>
      </c>
      <c r="E30" s="180"/>
      <c r="F30" s="180"/>
      <c r="G30" s="181"/>
      <c r="H30" s="45" t="str">
        <f>IF(I30="","",
IF(OR(I30=0,I30=15,I30=20,I30=35),"Fail",
IF(I30&gt;=42,"Pass","")))</f>
        <v/>
      </c>
      <c r="I30" s="10"/>
      <c r="J30" s="191"/>
      <c r="K30" s="108" t="str">
        <f t="shared" si="4"/>
        <v/>
      </c>
      <c r="L30" s="109"/>
    </row>
    <row r="31" spans="1:18" ht="96" customHeight="1" thickBot="1" x14ac:dyDescent="0.3">
      <c r="B31" s="40" t="s">
        <v>61</v>
      </c>
      <c r="C31" s="41" t="s">
        <v>71</v>
      </c>
      <c r="D31" s="42" t="s">
        <v>72</v>
      </c>
      <c r="E31" s="41" t="s">
        <v>73</v>
      </c>
      <c r="F31" s="42" t="s">
        <v>72</v>
      </c>
      <c r="G31" s="31" t="s">
        <v>36</v>
      </c>
      <c r="H31" s="93" t="str">
        <f t="shared" ref="H31" si="5">IF(I31="","",
IF(OR(I31=0,I31=15,I31=20,I31=35),"Fail",
IF(OR(I31=42,I31=45,I31=48),"Pass",
IF(OR(I31=52,I31=55,I31=58),"Pass",
IF(OR(I31=62,I31=65,I31=68),"Pass",
IF(OR(I31=74,I31=83,I31=92,I31=100),"Distinction",""))))))</f>
        <v/>
      </c>
      <c r="I31" s="9"/>
      <c r="J31" s="192"/>
      <c r="K31" s="127" t="str">
        <f t="shared" ref="K31" si="6">IF(I31="","",IF(I31=100,"Extraordinary,flawless",IF(I31=92,"Superb,outstanding",IF(I31=83,"Excellent",IF(I31=74,"Strong,proficient,very good",IF(OR(I31=68,I31=65,I31=62),"Competent,good,effective,capable",IF(OR(I31=58,I31=55,I31=52),"Reasonable,fair,appropriate",IF(OR(I31=48,I31=45,I31=42),"Basic,satisfactory,acceptable",IF(OR(I31=35,I31=20,I31=15,I31=0),"Poor,unsatisfactory,weak","")))))))))</f>
        <v/>
      </c>
      <c r="L31" s="128"/>
    </row>
    <row r="32" spans="1:18" ht="23.25" customHeight="1" thickBot="1" x14ac:dyDescent="0.3">
      <c r="B32" s="122"/>
      <c r="C32" s="122"/>
      <c r="D32" s="122"/>
      <c r="E32" s="122"/>
      <c r="F32" s="122"/>
      <c r="G32" s="122"/>
      <c r="H32" s="122"/>
      <c r="I32" s="122"/>
      <c r="J32" s="122"/>
      <c r="K32" s="122"/>
      <c r="L32" s="122"/>
    </row>
    <row r="33" spans="2:18" ht="57" customHeight="1" thickBot="1" x14ac:dyDescent="0.3">
      <c r="B33" s="118" t="s">
        <v>49</v>
      </c>
      <c r="C33" s="119"/>
      <c r="D33" s="119"/>
      <c r="E33" s="119"/>
      <c r="F33" s="119"/>
      <c r="G33" s="119"/>
      <c r="H33" s="120"/>
      <c r="I33" s="120"/>
      <c r="J33" s="119"/>
      <c r="K33" s="120"/>
      <c r="L33" s="121"/>
    </row>
    <row r="34" spans="2:18" ht="96" customHeight="1" thickBot="1" x14ac:dyDescent="0.3">
      <c r="B34" s="50" t="s">
        <v>59</v>
      </c>
      <c r="C34" s="51" t="s">
        <v>30</v>
      </c>
      <c r="D34" s="52" t="s">
        <v>31</v>
      </c>
      <c r="E34" s="173" t="s">
        <v>22</v>
      </c>
      <c r="F34" s="173"/>
      <c r="G34" s="174"/>
      <c r="H34" s="78" t="str">
        <f>IF(I34="","",
IF(OR(I34=0,I34=15,I34=20,I34=35),"Fail",
IF(I34&gt;=42,"Pass","")))</f>
        <v/>
      </c>
      <c r="I34" s="11"/>
      <c r="J34" s="77"/>
      <c r="K34" s="113" t="str">
        <f t="shared" ref="K34" si="7">IF(I34="","",IF(I34=100,"Extraordinary,flawless",IF(I34=92,"Superb,outstanding",IF(I34=83,"Excellent",IF(I34=74,"Strong,proficient,very good",IF(OR(I34=68,I34=65,I34=62),"Competent,good,effective,capable",IF(OR(I34=58,I34=55,I34=52),"Reasonable,fair,appropriate",IF(OR(I34=48,I34=45,I34=42),"Basic,satisfactory,acceptable",IF(OR(I34=35,I34=20,I34=15,I34=0),"Poor,unsatisfactory,weak","")))))))))</f>
        <v/>
      </c>
      <c r="L34" s="114"/>
    </row>
    <row r="35" spans="2:18" ht="24.75" customHeight="1" thickBot="1" x14ac:dyDescent="0.3">
      <c r="B35" s="117"/>
      <c r="C35" s="117"/>
      <c r="D35" s="117"/>
      <c r="E35" s="117"/>
      <c r="F35" s="117"/>
      <c r="G35" s="117"/>
      <c r="H35" s="117"/>
      <c r="I35" s="117"/>
      <c r="J35" s="117"/>
      <c r="K35" s="117"/>
      <c r="L35" s="117"/>
    </row>
    <row r="36" spans="2:18" ht="47.25" customHeight="1" thickBot="1" x14ac:dyDescent="0.3">
      <c r="B36" s="118" t="s">
        <v>48</v>
      </c>
      <c r="C36" s="119"/>
      <c r="D36" s="119"/>
      <c r="E36" s="119"/>
      <c r="F36" s="119"/>
      <c r="G36" s="119"/>
      <c r="H36" s="120"/>
      <c r="I36" s="120"/>
      <c r="J36" s="119"/>
      <c r="K36" s="120"/>
      <c r="L36" s="121"/>
    </row>
    <row r="37" spans="2:18" ht="71.25" customHeight="1" x14ac:dyDescent="0.25">
      <c r="B37" s="131" t="s">
        <v>44</v>
      </c>
      <c r="C37" s="16" t="s">
        <v>42</v>
      </c>
      <c r="D37" s="17" t="s">
        <v>15</v>
      </c>
      <c r="E37" s="180" t="s">
        <v>22</v>
      </c>
      <c r="F37" s="180"/>
      <c r="G37" s="181"/>
      <c r="H37" s="45" t="str">
        <f>IF(I37="","",
IF(OR(I37=0,I37=15,I37=20,I37=35),"Fail",
IF(I37&gt;=42,"Pass","")))</f>
        <v/>
      </c>
      <c r="I37" s="8"/>
      <c r="J37" s="133"/>
      <c r="K37" s="115" t="str">
        <f t="shared" ref="K37:K38" si="8">IF(I37="","",IF(I37=100,"Extraordinary,flawless",IF(I37=92,"Superb,outstanding",IF(I37=83,"Excellent",IF(I37=74,"Strong,proficient,very good",IF(OR(I37=68,I37=65,I37=62),"Competent,good,effective,capable",IF(OR(I37=58,I37=55,I37=52),"Reasonable,fair,appropriate",IF(OR(I37=48,I37=45,I37=42),"Basic,satisfactory,acceptable",IF(OR(I37=35,I37=20,I37=15,I37=0),"Poor,unsatisfactory,weak","")))))))))</f>
        <v/>
      </c>
      <c r="L37" s="116"/>
      <c r="M37" s="3"/>
      <c r="N37" s="3"/>
      <c r="O37" s="3"/>
      <c r="P37" s="3"/>
      <c r="Q37" s="3"/>
      <c r="R37" s="3"/>
    </row>
    <row r="38" spans="2:18" ht="90.75" customHeight="1" thickBot="1" x14ac:dyDescent="0.3">
      <c r="B38" s="132"/>
      <c r="C38" s="18" t="s">
        <v>40</v>
      </c>
      <c r="D38" s="19" t="s">
        <v>17</v>
      </c>
      <c r="E38" s="129"/>
      <c r="F38" s="129"/>
      <c r="G38" s="172"/>
      <c r="H38" s="47" t="str">
        <f>IF(I38="","",
IF(OR(I38=0,I38=15,I38=20,I38=35),"Fail",
IF(I38&gt;=42,"Pass","")))</f>
        <v/>
      </c>
      <c r="I38" s="9"/>
      <c r="J38" s="175"/>
      <c r="K38" s="127" t="str">
        <f t="shared" si="8"/>
        <v/>
      </c>
      <c r="L38" s="128"/>
      <c r="M38" s="3"/>
      <c r="N38" s="3"/>
      <c r="O38" s="3"/>
      <c r="P38" s="3"/>
      <c r="Q38" s="3"/>
      <c r="R38" s="3"/>
    </row>
    <row r="39" spans="2:18" ht="24" customHeight="1" thickBot="1" x14ac:dyDescent="0.3">
      <c r="B39" s="122"/>
      <c r="C39" s="122"/>
      <c r="D39" s="122"/>
      <c r="E39" s="122"/>
      <c r="F39" s="122"/>
      <c r="G39" s="122"/>
      <c r="H39" s="122"/>
      <c r="I39" s="122"/>
      <c r="J39" s="122"/>
      <c r="K39" s="122"/>
      <c r="L39" s="122"/>
      <c r="M39" s="3"/>
      <c r="N39" s="3"/>
      <c r="O39" s="3"/>
      <c r="P39" s="3"/>
      <c r="Q39" s="3"/>
      <c r="R39" s="3"/>
    </row>
    <row r="40" spans="2:18" ht="60" customHeight="1" thickBot="1" x14ac:dyDescent="0.3">
      <c r="B40" s="123" t="s">
        <v>54</v>
      </c>
      <c r="C40" s="124"/>
      <c r="D40" s="124"/>
      <c r="E40" s="124"/>
      <c r="F40" s="124"/>
      <c r="G40" s="124"/>
      <c r="H40" s="124"/>
      <c r="I40" s="124"/>
      <c r="J40" s="125"/>
      <c r="K40" s="124"/>
      <c r="L40" s="126"/>
    </row>
    <row r="41" spans="2:18" ht="109.5" customHeight="1" x14ac:dyDescent="0.25">
      <c r="B41" s="99" t="s">
        <v>37</v>
      </c>
      <c r="C41" s="100" t="s">
        <v>24</v>
      </c>
      <c r="D41" s="101" t="s">
        <v>25</v>
      </c>
      <c r="E41" s="102" t="s">
        <v>19</v>
      </c>
      <c r="F41" s="103" t="s">
        <v>25</v>
      </c>
      <c r="G41" s="104" t="s">
        <v>36</v>
      </c>
      <c r="H41" s="45" t="str">
        <f>IF(I41="","",
IF(OR(I41=0,I41=15,I41=20,I41=35),"Fail",
IF(OR(I41=42,I41=45,I41=48),"Pass",
IF(OR(I41=52,I41=55,I41=58),"Pass",
IF(OR(I41=62,I41=65,I41=68),"Pass",
IF(OR(I41=74,I41=83,I41=92,I41=100),"Distinction",""))))))</f>
        <v/>
      </c>
      <c r="I41" s="8"/>
      <c r="J41" s="133"/>
      <c r="K41" s="115" t="str">
        <f t="shared" ref="K41:K58" si="9">IF(I41="","",IF(I41=100,"Extraordinary,flawless",IF(I41=92,"Superb,outstanding",IF(I41=83,"Excellent",IF(I41=74,"Strong,proficient,very good",IF(OR(I41=68,I41=65,I41=62),"Competent,good,effective,capable",IF(OR(I41=58,I41=55,I41=52),"Reasonable,fair,appropriate",IF(OR(I41=48,I41=45,I41=42),"Basic,satisfactory,acceptable",IF(OR(I41=35,I41=20,I41=15,I41=0),"Poor,unsatisfactory,weak","")))))))))</f>
        <v/>
      </c>
      <c r="L41" s="116"/>
    </row>
    <row r="42" spans="2:18" ht="99" customHeight="1" x14ac:dyDescent="0.25">
      <c r="B42" s="44" t="s">
        <v>77</v>
      </c>
      <c r="C42" s="38" t="s">
        <v>74</v>
      </c>
      <c r="D42" s="39" t="s">
        <v>75</v>
      </c>
      <c r="E42" s="43" t="s">
        <v>76</v>
      </c>
      <c r="F42" s="39" t="s">
        <v>75</v>
      </c>
      <c r="G42" s="105" t="s">
        <v>36</v>
      </c>
      <c r="H42" s="46" t="str">
        <f>IF(I42="","",
IF(OR(I42=0,I42=15,I42=20,I42=35),"Fail",
IF(OR(I42=42,I42=45,I42=48),"Pass",
IF(OR(I42=52,I42=55,I42=58),"Pass",
IF(OR(I42=62,I42=65,I42=68),"Pass",
IF(OR(I42=74,I42=83,I42=92,I42=100),"Distinction",""))))))</f>
        <v/>
      </c>
      <c r="I42" s="10"/>
      <c r="J42" s="133"/>
      <c r="K42" s="108" t="str">
        <f t="shared" ref="K42" si="10">IF(I42="","",IF(I42=100,"Extraordinary,flawless",IF(I42=92,"Superb,outstanding",IF(I42=83,"Excellent",IF(I42=74,"Strong,proficient,very good",IF(OR(I42=68,I42=65,I42=62),"Competent,good,effective,capable",IF(OR(I42=58,I42=55,I42=52),"Reasonable,fair,appropriate",IF(OR(I42=48,I42=45,I42=42),"Basic,satisfactory,acceptable",IF(OR(I42=35,I42=20,I42=15,I42=0),"Poor,unsatisfactory,weak","")))))))))</f>
        <v/>
      </c>
      <c r="L42" s="109"/>
    </row>
    <row r="43" spans="2:18" ht="84" customHeight="1" x14ac:dyDescent="0.25">
      <c r="B43" s="44" t="s">
        <v>77</v>
      </c>
      <c r="C43" s="83" t="s">
        <v>78</v>
      </c>
      <c r="D43" s="84" t="s">
        <v>79</v>
      </c>
      <c r="E43" s="106" t="s">
        <v>22</v>
      </c>
      <c r="F43" s="106"/>
      <c r="G43" s="107"/>
      <c r="H43" s="46" t="str">
        <f>IF(I43="","",
IF(OR(I43=0,I43=15,I43=20,I43=35),"Fail",
IF(I43&gt;=42,"Pass","")))</f>
        <v/>
      </c>
      <c r="I43" s="10"/>
      <c r="J43" s="133"/>
      <c r="K43" s="108" t="str">
        <f t="shared" ref="K43:K44" si="11">IF(I43="","",IF(I43=100,"Extraordinary,flawless",IF(I43=92,"Superb,outstanding",IF(I43=83,"Excellent",IF(I43=74,"Strong,proficient,very good",IF(OR(I43=68,I43=65,I43=62),"Competent,good,effective,capable",IF(OR(I43=58,I43=55,I43=52),"Reasonable,fair,appropriate",IF(OR(I43=48,I43=45,I43=42),"Basic,satisfactory,acceptable",IF(OR(I43=35,I43=20,I43=15,I43=0),"Poor,unsatisfactory,weak","")))))))))</f>
        <v/>
      </c>
      <c r="L43" s="109"/>
    </row>
    <row r="44" spans="2:18" ht="96" customHeight="1" thickBot="1" x14ac:dyDescent="0.3">
      <c r="B44" s="85" t="s">
        <v>61</v>
      </c>
      <c r="C44" s="86" t="s">
        <v>80</v>
      </c>
      <c r="D44" s="87" t="s">
        <v>81</v>
      </c>
      <c r="E44" s="129" t="s">
        <v>22</v>
      </c>
      <c r="F44" s="129"/>
      <c r="G44" s="130"/>
      <c r="H44" s="47" t="str">
        <f t="shared" ref="H44" si="12">IF(I44="","",
IF(OR(I44=0,I44=15,I44=20,I44=35),"Fail",
IF(I44&gt;=42,"Pass","")))</f>
        <v/>
      </c>
      <c r="I44" s="9"/>
      <c r="J44" s="79"/>
      <c r="K44" s="127" t="str">
        <f t="shared" si="11"/>
        <v/>
      </c>
      <c r="L44" s="128"/>
    </row>
    <row r="45" spans="2:18" ht="23.25" customHeight="1" thickBot="1" x14ac:dyDescent="0.3">
      <c r="B45" s="122"/>
      <c r="C45" s="122"/>
      <c r="D45" s="122"/>
      <c r="E45" s="122"/>
      <c r="F45" s="122"/>
      <c r="G45" s="122"/>
      <c r="H45" s="122"/>
      <c r="I45" s="122"/>
      <c r="J45" s="122"/>
      <c r="K45" s="122"/>
      <c r="L45" s="122"/>
    </row>
    <row r="46" spans="2:18" ht="51" customHeight="1" thickBot="1" x14ac:dyDescent="0.3">
      <c r="B46" s="151" t="s">
        <v>55</v>
      </c>
      <c r="C46" s="125"/>
      <c r="D46" s="125"/>
      <c r="E46" s="125"/>
      <c r="F46" s="125"/>
      <c r="G46" s="125"/>
      <c r="H46" s="125"/>
      <c r="I46" s="124"/>
      <c r="J46" s="125"/>
      <c r="K46" s="124"/>
      <c r="L46" s="126"/>
    </row>
    <row r="47" spans="2:18" ht="85.5" customHeight="1" thickBot="1" x14ac:dyDescent="0.3">
      <c r="B47" s="49" t="s">
        <v>85</v>
      </c>
      <c r="C47" s="18" t="s">
        <v>6</v>
      </c>
      <c r="D47" s="19" t="s">
        <v>12</v>
      </c>
      <c r="E47" s="173" t="s">
        <v>22</v>
      </c>
      <c r="F47" s="173"/>
      <c r="G47" s="173"/>
      <c r="H47" s="75" t="str">
        <f>IF(I47="","",
IF(OR(I47=0,I47=15,I47=20,I47=35),"Fail",
IF(I47&gt;=42,"Pass","")))</f>
        <v/>
      </c>
      <c r="I47" s="11"/>
      <c r="J47" s="77"/>
      <c r="K47" s="113" t="str">
        <f t="shared" ref="K47" si="13">IF(I47="","",IF(I47=100,"Extraordinary,flawless",IF(I47=92,"Superb,outstanding",IF(I47=83,"Excellent",IF(I47=74,"Strong,proficient,very good",IF(OR(I47=68,I47=65,I47=62),"Competent,good,effective,capable",IF(OR(I47=58,I47=55,I47=52),"Reasonable,fair,appropriate",IF(OR(I47=48,I47=45,I47=42),"Basic,satisfactory,acceptable",IF(OR(I47=35,I47=20,I47=15,I47=0),"Poor,unsatisfactory,weak","")))))))))</f>
        <v/>
      </c>
      <c r="L47" s="114"/>
    </row>
    <row r="48" spans="2:18" ht="23.25" customHeight="1" thickBot="1" x14ac:dyDescent="0.3">
      <c r="B48" s="23"/>
      <c r="C48" s="13"/>
      <c r="D48" s="14"/>
      <c r="E48" s="15"/>
      <c r="F48" s="14"/>
      <c r="G48" s="14"/>
      <c r="H48" s="20"/>
      <c r="I48" s="21"/>
      <c r="K48" s="22"/>
      <c r="L48" s="22"/>
    </row>
    <row r="49" spans="2:12" ht="54.75" customHeight="1" thickBot="1" x14ac:dyDescent="0.3">
      <c r="B49" s="151" t="s">
        <v>56</v>
      </c>
      <c r="C49" s="125"/>
      <c r="D49" s="125"/>
      <c r="E49" s="125"/>
      <c r="F49" s="125"/>
      <c r="G49" s="125"/>
      <c r="H49" s="124"/>
      <c r="I49" s="124"/>
      <c r="J49" s="125"/>
      <c r="K49" s="124"/>
      <c r="L49" s="126"/>
    </row>
    <row r="50" spans="2:12" ht="84.75" customHeight="1" thickBot="1" x14ac:dyDescent="0.3">
      <c r="B50" s="88" t="s">
        <v>37</v>
      </c>
      <c r="C50" s="28" t="s">
        <v>23</v>
      </c>
      <c r="D50" s="89" t="s">
        <v>26</v>
      </c>
      <c r="E50" s="129" t="s">
        <v>22</v>
      </c>
      <c r="F50" s="129"/>
      <c r="G50" s="172"/>
      <c r="H50" s="78" t="str">
        <f>IF(I50="","",
IF(OR(I50=0,I50=15,I50=20,I50=35),"Fail",
IF(I50&gt;=42,"Pass","")))</f>
        <v/>
      </c>
      <c r="I50" s="11"/>
      <c r="J50" s="79"/>
      <c r="K50" s="113" t="str">
        <f t="shared" ref="K50" si="14">IF(I50="","",IF(I50=100,"Extraordinary,flawless",IF(I50=92,"Superb,outstanding",IF(I50=83,"Excellent",IF(I50=74,"Strong,proficient,very good",IF(OR(I50=68,I50=65,I50=62),"Competent,good,effective,capable",IF(OR(I50=58,I50=55,I50=52),"Reasonable,fair,appropriate",IF(OR(I50=48,I50=45,I50=42),"Basic,satisfactory,acceptable",IF(OR(I50=35,I50=20,I50=15,I50=0),"Poor,unsatisfactory,weak","")))))))))</f>
        <v/>
      </c>
      <c r="L50" s="114"/>
    </row>
    <row r="52" spans="2:12" s="55" customFormat="1" ht="23.25" x14ac:dyDescent="0.25">
      <c r="B52" s="64"/>
      <c r="C52" s="59"/>
      <c r="D52" s="65"/>
      <c r="E52" s="150"/>
      <c r="F52" s="150"/>
      <c r="G52" s="65"/>
    </row>
    <row r="53" spans="2:12" s="55" customFormat="1" x14ac:dyDescent="0.25"/>
    <row r="54" spans="2:12" s="55" customFormat="1" x14ac:dyDescent="0.25"/>
    <row r="55" spans="2:12" s="55" customFormat="1" ht="67.5" customHeight="1" x14ac:dyDescent="0.25">
      <c r="B55" s="58"/>
      <c r="C55" s="59"/>
      <c r="D55" s="60"/>
      <c r="E55" s="59"/>
      <c r="F55" s="60"/>
      <c r="G55" s="60"/>
      <c r="H55" s="61" t="str">
        <f>IF(I55="","",
IF(OR(I55=0,I55=15,I55=20,I55=35),"Fail",
IF(OR(I55=42,I55=45,I55=48),"Pass",
IF(OR(I55=52,I55=55,I55=58),"Pass",
IF(OR(I55=62,I55=65,I55=68),"Pass",
IF(OR(I55=74,I55=83,I55=92,I55=100),"Distinction",""))))))</f>
        <v/>
      </c>
      <c r="I55" s="62"/>
      <c r="K55" s="63" t="str">
        <f t="shared" si="9"/>
        <v/>
      </c>
      <c r="L55" s="63"/>
    </row>
    <row r="56" spans="2:12" s="55" customFormat="1" ht="66.75" customHeight="1" x14ac:dyDescent="0.25">
      <c r="B56" s="58"/>
      <c r="C56" s="59"/>
      <c r="D56" s="60"/>
      <c r="E56" s="171"/>
      <c r="F56" s="171"/>
      <c r="G56" s="60"/>
      <c r="H56" s="61" t="str">
        <f t="shared" ref="H56:H58" si="15">IF(I56="","",
IF(OR(I56=0,I56=15,I56=20,I56=35),"Fail",
IF(I56&gt;=42,"Pass","")))</f>
        <v/>
      </c>
      <c r="I56" s="62"/>
      <c r="K56" s="63" t="str">
        <f t="shared" si="9"/>
        <v/>
      </c>
      <c r="L56" s="63"/>
    </row>
    <row r="57" spans="2:12" s="55" customFormat="1" ht="72.75" customHeight="1" x14ac:dyDescent="0.25">
      <c r="B57" s="58"/>
      <c r="C57" s="59"/>
      <c r="D57" s="60"/>
      <c r="E57" s="59"/>
      <c r="F57" s="60"/>
      <c r="G57" s="60"/>
      <c r="H57" s="61" t="str">
        <f>IF(I57="","",
IF(OR(I57=0,I57=15,I57=20,I57=35),"Fail",
IF(OR(I57=42,I57=45,I57=48),"Pass",
IF(OR(I57=52,I57=55,I57=58),"Pass",
IF(OR(I57=62,I57=65,I57=68),"Pass",
IF(OR(I57=74,I57=83,I57=92,I57=100),"Distinction",""))))))</f>
        <v/>
      </c>
      <c r="I57" s="62"/>
      <c r="K57" s="63" t="str">
        <f t="shared" si="9"/>
        <v/>
      </c>
      <c r="L57" s="63"/>
    </row>
    <row r="58" spans="2:12" s="55" customFormat="1" ht="114.75" customHeight="1" x14ac:dyDescent="0.25">
      <c r="H58" s="61" t="str">
        <f t="shared" si="15"/>
        <v/>
      </c>
      <c r="I58" s="62"/>
      <c r="K58" s="63" t="str">
        <f t="shared" si="9"/>
        <v/>
      </c>
      <c r="L58" s="63"/>
    </row>
    <row r="59" spans="2:12" s="55" customFormat="1" ht="52.5" customHeight="1" x14ac:dyDescent="0.25"/>
    <row r="60" spans="2:12" s="55" customFormat="1" ht="39" customHeight="1" x14ac:dyDescent="0.25"/>
    <row r="61" spans="2:12" s="55" customFormat="1" ht="92.45" customHeight="1" x14ac:dyDescent="0.25"/>
    <row r="62" spans="2:12" s="55" customFormat="1" ht="62.45" customHeight="1" x14ac:dyDescent="0.25"/>
    <row r="63" spans="2:12" s="55" customFormat="1" ht="108.95" customHeight="1" x14ac:dyDescent="0.25"/>
    <row r="64" spans="2:12" ht="46.5" customHeight="1" x14ac:dyDescent="0.25"/>
    <row r="65" ht="90" customHeight="1" x14ac:dyDescent="0.25"/>
    <row r="66" ht="29.1" customHeight="1" x14ac:dyDescent="0.25"/>
    <row r="67" ht="50.1" customHeight="1" x14ac:dyDescent="0.25"/>
    <row r="68" ht="50.45" customHeight="1" x14ac:dyDescent="0.25"/>
    <row r="69" ht="83.1" customHeight="1" x14ac:dyDescent="0.25"/>
  </sheetData>
  <mergeCells count="74">
    <mergeCell ref="E21:G23"/>
    <mergeCell ref="J29:J31"/>
    <mergeCell ref="N4:T4"/>
    <mergeCell ref="N6:T15"/>
    <mergeCell ref="K23:L23"/>
    <mergeCell ref="J15:J17"/>
    <mergeCell ref="K30:L30"/>
    <mergeCell ref="K31:L31"/>
    <mergeCell ref="E15:G16"/>
    <mergeCell ref="B4:L4"/>
    <mergeCell ref="G10:G12"/>
    <mergeCell ref="K12:L12"/>
    <mergeCell ref="H10:H12"/>
    <mergeCell ref="B6:C6"/>
    <mergeCell ref="B15:B16"/>
    <mergeCell ref="B21:B22"/>
    <mergeCell ref="B10:B12"/>
    <mergeCell ref="E56:F56"/>
    <mergeCell ref="A18:L18"/>
    <mergeCell ref="B19:L19"/>
    <mergeCell ref="K37:L37"/>
    <mergeCell ref="K17:L17"/>
    <mergeCell ref="B33:L33"/>
    <mergeCell ref="B32:L32"/>
    <mergeCell ref="E50:G50"/>
    <mergeCell ref="E34:G34"/>
    <mergeCell ref="J37:J38"/>
    <mergeCell ref="E47:G47"/>
    <mergeCell ref="B46:L46"/>
    <mergeCell ref="E26:G26"/>
    <mergeCell ref="K26:L26"/>
    <mergeCell ref="K8:K10"/>
    <mergeCell ref="K15:L15"/>
    <mergeCell ref="B13:L13"/>
    <mergeCell ref="B8:G9"/>
    <mergeCell ref="B14:L14"/>
    <mergeCell ref="E52:F52"/>
    <mergeCell ref="B49:L49"/>
    <mergeCell ref="K43:L43"/>
    <mergeCell ref="A24:L24"/>
    <mergeCell ref="B25:L25"/>
    <mergeCell ref="B28:L28"/>
    <mergeCell ref="B27:L27"/>
    <mergeCell ref="E37:G38"/>
    <mergeCell ref="E29:G30"/>
    <mergeCell ref="C10:C12"/>
    <mergeCell ref="D10:D12"/>
    <mergeCell ref="E10:E12"/>
    <mergeCell ref="E6:G6"/>
    <mergeCell ref="H8:I8"/>
    <mergeCell ref="I10:I11"/>
    <mergeCell ref="F10:F12"/>
    <mergeCell ref="K20:L20"/>
    <mergeCell ref="K21:L21"/>
    <mergeCell ref="K29:L29"/>
    <mergeCell ref="J41:J43"/>
    <mergeCell ref="K16:L16"/>
    <mergeCell ref="K22:L22"/>
    <mergeCell ref="E43:G43"/>
    <mergeCell ref="K42:L42"/>
    <mergeCell ref="J20:J23"/>
    <mergeCell ref="K34:L34"/>
    <mergeCell ref="K50:L50"/>
    <mergeCell ref="K41:L41"/>
    <mergeCell ref="K47:L47"/>
    <mergeCell ref="B35:L35"/>
    <mergeCell ref="B36:L36"/>
    <mergeCell ref="B39:L39"/>
    <mergeCell ref="B40:L40"/>
    <mergeCell ref="B45:L45"/>
    <mergeCell ref="K38:L38"/>
    <mergeCell ref="E44:G44"/>
    <mergeCell ref="K44:L44"/>
    <mergeCell ref="B37:B38"/>
  </mergeCells>
  <phoneticPr fontId="2" type="noConversion"/>
  <conditionalFormatting sqref="H8">
    <cfRule type="expression" dxfId="35" priority="101">
      <formula>H10="Pass"</formula>
    </cfRule>
    <cfRule type="expression" dxfId="34" priority="100">
      <formula>H10="Merit"</formula>
    </cfRule>
    <cfRule type="expression" dxfId="33" priority="99">
      <formula>H10="Distinction"</formula>
    </cfRule>
    <cfRule type="expression" dxfId="32" priority="98">
      <formula>L10="Fail"</formula>
    </cfRule>
  </conditionalFormatting>
  <conditionalFormatting sqref="H9">
    <cfRule type="expression" dxfId="31" priority="110">
      <formula>L12="Fail"</formula>
    </cfRule>
  </conditionalFormatting>
  <conditionalFormatting sqref="H10">
    <cfRule type="expression" dxfId="30" priority="92">
      <formula>L10="Pass"</formula>
    </cfRule>
    <cfRule type="expression" dxfId="29" priority="90">
      <formula>L10="Distinction"</formula>
    </cfRule>
    <cfRule type="expression" dxfId="28" priority="91">
      <formula>L10="Merit"</formula>
    </cfRule>
    <cfRule type="expression" dxfId="27" priority="93">
      <formula>L10="Fail"</formula>
    </cfRule>
  </conditionalFormatting>
  <conditionalFormatting sqref="H15:H17 H20:H23 H26 H29:H31 H34 H37:H38 H41:H44 H47:H48 H50 H55:H58">
    <cfRule type="expression" dxfId="26" priority="87">
      <formula>H15="Pass"</formula>
    </cfRule>
    <cfRule type="expression" dxfId="25" priority="88">
      <formula>H15="Merit"</formula>
    </cfRule>
    <cfRule type="expression" dxfId="24" priority="89">
      <formula>H15="Distinction"</formula>
    </cfRule>
    <cfRule type="expression" dxfId="23" priority="86">
      <formula>H15="Fail"</formula>
    </cfRule>
  </conditionalFormatting>
  <conditionalFormatting sqref="H9:I9">
    <cfRule type="expression" dxfId="22" priority="111">
      <formula>H12="Distinction"</formula>
    </cfRule>
    <cfRule type="expression" dxfId="21" priority="112">
      <formula>H12="Merit"</formula>
    </cfRule>
    <cfRule type="expression" dxfId="20" priority="113">
      <formula>H12="Pass"</formula>
    </cfRule>
  </conditionalFormatting>
  <conditionalFormatting sqref="I8">
    <cfRule type="expression" dxfId="19" priority="95">
      <formula>I10="Distinction"</formula>
    </cfRule>
    <cfRule type="expression" dxfId="18" priority="96">
      <formula>I10="Merit"</formula>
    </cfRule>
    <cfRule type="expression" dxfId="17" priority="97">
      <formula>I10="Pass"</formula>
    </cfRule>
  </conditionalFormatting>
  <conditionalFormatting sqref="I8:I9">
    <cfRule type="expression" dxfId="16" priority="94">
      <formula>#REF!="Fail"</formula>
    </cfRule>
  </conditionalFormatting>
  <conditionalFormatting sqref="I10">
    <cfRule type="expression" dxfId="15" priority="102">
      <formula>AND(I10&gt;=42,I10&lt;=48)</formula>
    </cfRule>
    <cfRule type="expression" dxfId="14" priority="103">
      <formula>AND(I10&gt;=52,I10&lt;=58)</formula>
    </cfRule>
    <cfRule type="expression" dxfId="13" priority="104">
      <formula>AND(I10&gt;=62,I10&lt;=68)</formula>
    </cfRule>
    <cfRule type="expression" dxfId="12" priority="105">
      <formula>AND(I10&gt;=74,I10&lt;=100)</formula>
    </cfRule>
    <cfRule type="expression" dxfId="11" priority="1">
      <formula>AND(I10&gt;=0,I10&lt;=35)</formula>
    </cfRule>
  </conditionalFormatting>
  <conditionalFormatting sqref="K8">
    <cfRule type="containsText" dxfId="10" priority="63" operator="containsText" text="Marking Complet">
      <formula>NOT(ISERROR(SEARCH("Marking Complet",K8)))</formula>
    </cfRule>
    <cfRule type="containsText" dxfId="9" priority="64" operator="containsText" text="Missing Grade">
      <formula>NOT(ISERROR(SEARCH("Missing Grade",K8)))</formula>
    </cfRule>
  </conditionalFormatting>
  <conditionalFormatting sqref="K15:L17 K20:L23 K26:L26 K29:L31 K34:L34 K37:L38 K41:L44 K47:L48 K50:L50 K55:L58">
    <cfRule type="containsText" dxfId="8" priority="4" operator="containsText" text="Poor,unsatisfactory,weak">
      <formula>NOT(ISERROR(SEARCH("Poor,unsatisfactory,weak",K15)))</formula>
    </cfRule>
    <cfRule type="containsText" dxfId="7" priority="5" operator="containsText" text="Basic,satisfactory,acceptable">
      <formula>NOT(ISERROR(SEARCH("Basic,satisfactory,acceptable",K15)))</formula>
    </cfRule>
    <cfRule type="containsText" dxfId="6" priority="6" operator="containsText" text="Reasonable,fair">
      <formula>NOT(ISERROR(SEARCH("Reasonable,fair",K15)))</formula>
    </cfRule>
    <cfRule type="containsText" dxfId="5" priority="7" operator="containsText" text="Competent,good">
      <formula>NOT(ISERROR(SEARCH("Competent,good",K15)))</formula>
    </cfRule>
    <cfRule type="containsText" dxfId="4" priority="11" operator="containsText" text="Extraordinary,flawless">
      <formula>NOT(ISERROR(SEARCH("Extraordinary,flawless",K15)))</formula>
    </cfRule>
    <cfRule type="containsText" dxfId="3" priority="10" operator="containsText" text="Superb,outstanding">
      <formula>NOT(ISERROR(SEARCH("Superb,outstanding",K15)))</formula>
    </cfRule>
    <cfRule type="containsText" dxfId="2" priority="9" operator="containsText" text="Excellent">
      <formula>NOT(ISERROR(SEARCH("Excellent",K15)))</formula>
    </cfRule>
    <cfRule type="containsText" dxfId="1" priority="8" operator="containsText" text="Strong,proficient,very good">
      <formula>NOT(ISERROR(SEARCH("Strong,proficient,very good",K15)))</formula>
    </cfRule>
  </conditionalFormatting>
  <conditionalFormatting sqref="O22">
    <cfRule type="containsText" dxfId="0" priority="2" operator="containsText" text="Extraordinary, flawless">
      <formula>NOT(ISERROR(SEARCH("Extraordinary, flawless",O22)))</formula>
    </cfRule>
  </conditionalFormatting>
  <dataValidations count="1">
    <dataValidation type="list" allowBlank="1" showInputMessage="1" showErrorMessage="1" sqref="I55:I58 I47:I48 I34 I20:I23 I37:I38 I15:I17 I29:I31 I41:I44 I26 I50" xr:uid="{08BEC109-C048-492B-BEF1-FBA95930091D}">
      <formula1>"0,15,20,35, 42,45,48,52,55,58,62,65,68,74, 83,92,100"</formula1>
    </dataValidation>
  </dataValidations>
  <pageMargins left="0.25" right="0.25" top="0.75" bottom="0.75" header="0.3" footer="0.3"/>
  <pageSetup paperSize="9" orientation="portrait" r:id="rId1"/>
  <ignoredErrors>
    <ignoredError sqref="H56:H57" formula="1"/>
    <ignoredError sqref="I10" evalError="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EPA AE1 Grade Calculator </vt:lpstr>
    </vt:vector>
  </TitlesOfParts>
  <Company>Solent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Reid</dc:creator>
  <cp:lastModifiedBy>Martin Reid</cp:lastModifiedBy>
  <dcterms:created xsi:type="dcterms:W3CDTF">2025-02-12T15:02:17Z</dcterms:created>
  <dcterms:modified xsi:type="dcterms:W3CDTF">2026-10-26T14:19:10Z</dcterms:modified>
</cp:coreProperties>
</file>